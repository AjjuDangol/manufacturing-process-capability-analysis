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judn\OneDrive\Desktop\manufacturing-process-capability-analysis\Data\"/>
    </mc:Choice>
  </mc:AlternateContent>
  <xr:revisionPtr revIDLastSave="0" documentId="13_ncr:1_{EB00AE1F-CB4E-43EA-999D-C1F9D25367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ion_Data" sheetId="1" r:id="rId1"/>
    <sheet name="Non_Conformance_Log" sheetId="2" r:id="rId2"/>
    <sheet name="Machine_Info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2" i="1"/>
  <c r="H3" i="1"/>
  <c r="H4" i="1"/>
  <c r="H5" i="1"/>
  <c r="K10" i="1"/>
  <c r="K13" i="1"/>
  <c r="K12" i="1"/>
  <c r="K11" i="1"/>
  <c r="K6" i="1"/>
  <c r="K5" i="1"/>
  <c r="K4" i="1"/>
  <c r="K3" i="1"/>
</calcChain>
</file>

<file path=xl/sharedStrings.xml><?xml version="1.0" encoding="utf-8"?>
<sst xmlns="http://schemas.openxmlformats.org/spreadsheetml/2006/main" count="8597" uniqueCount="1717">
  <si>
    <t>Date</t>
  </si>
  <si>
    <t>Line</t>
  </si>
  <si>
    <t>Shift</t>
  </si>
  <si>
    <t>Operator</t>
  </si>
  <si>
    <t>Machine_ID</t>
  </si>
  <si>
    <t>Batch_ID</t>
  </si>
  <si>
    <t>Measurement_Value_mm</t>
  </si>
  <si>
    <t>Line 1</t>
  </si>
  <si>
    <t>Afternoon</t>
  </si>
  <si>
    <t>OP_A</t>
  </si>
  <si>
    <t>M101</t>
  </si>
  <si>
    <t>B1000</t>
  </si>
  <si>
    <t>Line 2</t>
  </si>
  <si>
    <t>OP_C</t>
  </si>
  <si>
    <t>M102</t>
  </si>
  <si>
    <t>B1001</t>
  </si>
  <si>
    <t>Morning</t>
  </si>
  <si>
    <t>OP_D</t>
  </si>
  <si>
    <t>B1002</t>
  </si>
  <si>
    <t>Night</t>
  </si>
  <si>
    <t>B1003</t>
  </si>
  <si>
    <t>M301</t>
  </si>
  <si>
    <t>B1004</t>
  </si>
  <si>
    <t>Line 3</t>
  </si>
  <si>
    <t>B1005</t>
  </si>
  <si>
    <t>B1006</t>
  </si>
  <si>
    <t>B1007</t>
  </si>
  <si>
    <t>B1008</t>
  </si>
  <si>
    <t>M202</t>
  </si>
  <si>
    <t>B1009</t>
  </si>
  <si>
    <t>B1010</t>
  </si>
  <si>
    <t>B1011</t>
  </si>
  <si>
    <t>B1012</t>
  </si>
  <si>
    <t>B1013</t>
  </si>
  <si>
    <t>OP_B</t>
  </si>
  <si>
    <t>B1014</t>
  </si>
  <si>
    <t>M201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</si>
  <si>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</si>
  <si>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</si>
  <si>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</si>
  <si>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</si>
  <si>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</si>
  <si>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</si>
  <si>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</si>
  <si>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</si>
  <si>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</si>
  <si>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</si>
  <si>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</si>
  <si>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</si>
  <si>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</si>
  <si>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</si>
  <si>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</si>
  <si>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</si>
  <si>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</si>
  <si>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</si>
  <si>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</si>
  <si>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</si>
  <si>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</si>
  <si>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</si>
  <si>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</si>
  <si>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</si>
  <si>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</si>
  <si>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</si>
  <si>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</si>
  <si>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</si>
  <si>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</si>
  <si>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</si>
  <si>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</si>
  <si>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</si>
  <si>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</si>
  <si>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</si>
  <si>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</si>
  <si>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</si>
  <si>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</si>
  <si>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</si>
  <si>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</si>
  <si>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</si>
  <si>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</si>
  <si>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</si>
  <si>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</si>
  <si>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</si>
  <si>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</si>
  <si>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</si>
  <si>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</si>
  <si>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</si>
  <si>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</si>
  <si>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</si>
  <si>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</si>
  <si>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</si>
  <si>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</si>
  <si>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</si>
  <si>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</si>
  <si>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</si>
  <si>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</si>
  <si>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</si>
  <si>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</si>
  <si>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</si>
  <si>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</si>
  <si>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</si>
  <si>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</si>
  <si>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</si>
  <si>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</si>
  <si>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</si>
  <si>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</si>
  <si>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</si>
  <si>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</si>
  <si>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</si>
  <si>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</si>
  <si>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</si>
  <si>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</si>
  <si>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</si>
  <si>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</si>
  <si>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</si>
  <si>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</si>
  <si>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</si>
  <si>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</si>
  <si>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</si>
  <si>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</si>
  <si>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</si>
  <si>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</si>
  <si>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</si>
  <si>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</si>
  <si>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</si>
  <si>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</si>
  <si>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</si>
  <si>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</si>
  <si>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</si>
  <si>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</si>
  <si>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</si>
  <si>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</si>
  <si>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</si>
  <si>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</si>
  <si>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</si>
  <si>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</si>
  <si>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</si>
  <si>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</si>
  <si>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</si>
  <si>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</si>
  <si>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</si>
  <si>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</si>
  <si>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</si>
  <si>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</si>
  <si>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</si>
  <si>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</si>
  <si>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</si>
  <si>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</si>
  <si>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</si>
  <si>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</si>
  <si>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</si>
  <si>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</si>
  <si>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</si>
  <si>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</si>
  <si>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</si>
  <si>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</si>
  <si>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</si>
  <si>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</si>
  <si>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</si>
  <si>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</si>
  <si>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</si>
  <si>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</si>
  <si>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</si>
  <si>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</si>
  <si>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</si>
  <si>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</si>
  <si>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</si>
  <si>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</si>
  <si>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</si>
  <si>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</si>
  <si>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</si>
  <si>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</si>
  <si>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</si>
  <si>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</si>
  <si>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</si>
  <si>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</si>
  <si>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</si>
  <si>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</si>
  <si>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</si>
  <si>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</si>
  <si>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</si>
  <si>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</si>
  <si>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</si>
  <si>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</si>
  <si>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</si>
  <si>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</si>
  <si>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</si>
  <si>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</si>
  <si>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</si>
  <si>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</si>
  <si>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</si>
  <si>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</si>
  <si>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</si>
  <si>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</si>
  <si>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</si>
  <si>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</si>
  <si>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</si>
  <si>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</si>
  <si>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</si>
  <si>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</si>
  <si>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</si>
  <si>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</si>
  <si>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</si>
  <si>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</si>
  <si>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</si>
  <si>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</si>
  <si>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</si>
  <si>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</si>
  <si>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</si>
  <si>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</si>
  <si>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</si>
  <si>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</si>
  <si>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</si>
  <si>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</si>
  <si>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</si>
  <si>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</si>
  <si>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</si>
  <si>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</si>
  <si>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</si>
  <si>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</si>
  <si>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</si>
  <si>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</si>
  <si>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</si>
  <si>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</si>
  <si>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</si>
  <si>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</si>
  <si>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</si>
  <si>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</si>
  <si>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</si>
  <si>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</si>
  <si>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</si>
  <si>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</si>
  <si>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</si>
  <si>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</si>
  <si>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</si>
  <si>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</si>
  <si>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</si>
  <si>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</si>
  <si>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</si>
  <si>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</si>
  <si>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</si>
  <si>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</si>
  <si>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</si>
  <si>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</si>
  <si>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</si>
  <si>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</si>
  <si>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</si>
  <si>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</si>
  <si>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</si>
  <si>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</si>
  <si>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</si>
  <si>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</si>
  <si>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</si>
  <si>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</si>
  <si>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</si>
  <si>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</si>
  <si>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</si>
  <si>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</si>
  <si>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</si>
  <si>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</si>
  <si>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</si>
  <si>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</si>
  <si>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</si>
  <si>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</si>
  <si>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</si>
  <si>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</si>
  <si>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</si>
  <si>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</si>
  <si>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</si>
  <si>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</si>
  <si>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</si>
  <si>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</si>
  <si>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</si>
  <si>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</si>
  <si>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</si>
  <si>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</si>
  <si>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</si>
  <si>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</si>
  <si>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</si>
  <si>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</si>
  <si>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</si>
  <si>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</si>
  <si>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</si>
  <si>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</si>
  <si>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</si>
  <si>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</si>
  <si>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</si>
  <si>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</si>
  <si>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</si>
  <si>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</si>
  <si>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</si>
  <si>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</si>
  <si>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</si>
  <si>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</si>
  <si>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</si>
  <si>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</si>
  <si>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</si>
  <si>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</si>
  <si>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</si>
  <si>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</si>
  <si>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</si>
  <si>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</si>
  <si>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</si>
  <si>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</si>
  <si>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</si>
  <si>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</si>
  <si>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</si>
  <si>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</si>
  <si>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</si>
  <si>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</si>
  <si>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</si>
  <si>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</si>
  <si>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</si>
  <si>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</si>
  <si>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</si>
  <si>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</si>
  <si>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</si>
  <si>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</si>
  <si>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</si>
  <si>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</si>
  <si>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</si>
  <si>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</si>
  <si>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</si>
  <si>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</si>
  <si>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</si>
  <si>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</si>
  <si>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</si>
  <si>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</si>
  <si>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</si>
  <si>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</si>
  <si>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</si>
  <si>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</si>
  <si>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</si>
  <si>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</si>
  <si>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</si>
  <si>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</si>
  <si>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</si>
  <si>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</si>
  <si>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</si>
  <si>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</si>
  <si>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</si>
  <si>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</si>
  <si>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</si>
  <si>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</si>
  <si>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</si>
  <si>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</si>
  <si>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</si>
  <si>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</si>
  <si>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</si>
  <si>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</si>
  <si>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</si>
  <si>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</si>
  <si>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</si>
  <si>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</si>
  <si>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</si>
  <si>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</si>
  <si>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</si>
  <si>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</si>
  <si>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</si>
  <si>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</si>
  <si>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</si>
  <si>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</si>
  <si>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</si>
  <si>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</si>
  <si>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</si>
  <si>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</si>
  <si>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</si>
  <si>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</si>
  <si>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</si>
  <si>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</si>
  <si>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</si>
  <si>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</si>
  <si>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</si>
  <si>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</si>
  <si>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</si>
  <si>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</si>
  <si>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</si>
  <si>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</si>
  <si>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</si>
  <si>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</si>
  <si>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</si>
  <si>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</si>
  <si>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</si>
  <si>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</si>
  <si>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</si>
  <si>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</si>
  <si>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</si>
  <si>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B1363</t>
  </si>
  <si>
    <t>B1364</t>
  </si>
  <si>
    <t>B1365</t>
  </si>
  <si>
    <t>B1366</t>
  </si>
  <si>
    <t>B1367</t>
  </si>
  <si>
    <t>B1368</t>
  </si>
  <si>
    <t>B1369</t>
  </si>
  <si>
    <t>B1370</t>
  </si>
  <si>
    <t>B1371</t>
  </si>
  <si>
    <t>B1372</t>
  </si>
  <si>
    <t>B1373</t>
  </si>
  <si>
    <t>B1374</t>
  </si>
  <si>
    <t>B1375</t>
  </si>
  <si>
    <t>B1376</t>
  </si>
  <si>
    <t>B1377</t>
  </si>
  <si>
    <t>B1378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</si>
  <si>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</si>
  <si>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</si>
  <si>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</si>
  <si>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</si>
  <si>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</si>
  <si>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</si>
  <si>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</si>
  <si>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</si>
  <si>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</si>
  <si>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</si>
  <si>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</si>
  <si>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</si>
  <si>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</si>
  <si>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</si>
  <si>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</si>
  <si>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</si>
  <si>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</si>
  <si>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</si>
  <si>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</si>
  <si>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</si>
  <si>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</si>
  <si>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</si>
  <si>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</si>
  <si>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</si>
  <si>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</si>
  <si>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</si>
  <si>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</si>
  <si>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</si>
  <si>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</si>
  <si>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</si>
  <si>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</si>
  <si>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</si>
  <si>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</si>
  <si>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</si>
  <si>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</si>
  <si>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</si>
  <si>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</si>
  <si>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</si>
  <si>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</si>
  <si>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</si>
  <si>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</si>
  <si>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</si>
  <si>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</si>
  <si>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</si>
  <si>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B1423</t>
  </si>
  <si>
    <t>B1424</t>
  </si>
  <si>
    <t>B1425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</si>
  <si>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</si>
  <si>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</si>
  <si>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</si>
  <si>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</si>
  <si>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</si>
  <si>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</si>
  <si>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</si>
  <si>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</si>
  <si>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</si>
  <si>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</si>
  <si>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</si>
  <si>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B1437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</si>
  <si>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</si>
  <si>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</si>
  <si>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</si>
  <si>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</si>
  <si>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</si>
  <si>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</si>
  <si>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</si>
  <si>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</si>
  <si>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</si>
  <si>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</si>
  <si>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</si>
  <si>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</si>
  <si>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</si>
  <si>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</si>
  <si>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</si>
  <si>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</si>
  <si>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</si>
  <si>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</si>
  <si>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</si>
  <si>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</si>
  <si>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</si>
  <si>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</si>
  <si>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</si>
  <si>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</si>
  <si>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</si>
  <si>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</si>
  <si>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</si>
  <si>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</si>
  <si>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</si>
  <si>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</si>
  <si>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</si>
  <si>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</si>
  <si>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</si>
  <si>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</si>
  <si>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</si>
  <si>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B1473</t>
  </si>
  <si>
    <t>B1474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</si>
  <si>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</si>
  <si>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</si>
  <si>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</si>
  <si>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</si>
  <si>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</si>
  <si>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</si>
  <si>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</si>
  <si>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</si>
  <si>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</si>
  <si>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</si>
  <si>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</si>
  <si>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</si>
  <si>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</si>
  <si>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</si>
  <si>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</si>
  <si>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</si>
  <si>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</si>
  <si>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</si>
  <si>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</si>
  <si>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</si>
  <si>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</si>
  <si>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</si>
  <si>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</si>
  <si>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</si>
  <si>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</si>
  <si>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</si>
  <si>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</si>
  <si>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</si>
  <si>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</si>
  <si>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</si>
  <si>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</si>
  <si>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</si>
  <si>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</si>
  <si>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</si>
  <si>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</si>
  <si>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</si>
  <si>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</si>
  <si>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</si>
  <si>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</si>
  <si>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</si>
  <si>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</si>
  <si>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</si>
  <si>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</si>
  <si>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</si>
  <si>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</si>
  <si>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</si>
  <si>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</si>
  <si>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</si>
  <si>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</si>
  <si>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</si>
  <si>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</si>
  <si>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</si>
  <si>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</si>
  <si>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</si>
  <si>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</si>
  <si>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</si>
  <si>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</si>
  <si>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</si>
  <si>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</si>
  <si>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</si>
  <si>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</si>
  <si>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</si>
  <si>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</si>
  <si>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</si>
  <si>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</si>
  <si>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</si>
  <si>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</si>
  <si>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</si>
  <si>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</si>
  <si>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</si>
  <si>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</si>
  <si>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</si>
  <si>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</si>
  <si>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</si>
  <si>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</si>
  <si>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</si>
  <si>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</si>
  <si>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</si>
  <si>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</si>
  <si>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</si>
  <si>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</si>
  <si>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</si>
  <si>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</si>
  <si>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</si>
  <si>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</si>
  <si>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</si>
  <si>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</si>
  <si>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</si>
  <si>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</si>
  <si>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</si>
  <si>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</si>
  <si>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</si>
  <si>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</si>
  <si>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</si>
  <si>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</si>
  <si>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</si>
  <si>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</si>
  <si>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</si>
  <si>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</si>
  <si>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</si>
  <si>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</si>
  <si>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</si>
  <si>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</si>
  <si>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</si>
  <si>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</si>
  <si>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</si>
  <si>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</si>
  <si>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</si>
  <si>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</si>
  <si>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</si>
  <si>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</si>
  <si>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</si>
  <si>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</si>
  <si>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</si>
  <si>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</si>
  <si>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</si>
  <si>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</si>
  <si>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</si>
  <si>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</si>
  <si>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</si>
  <si>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</si>
  <si>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</si>
  <si>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</si>
  <si>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B1598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</si>
  <si>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</si>
  <si>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</si>
  <si>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</si>
  <si>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</si>
  <si>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</si>
  <si>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</si>
  <si>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</si>
  <si>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</si>
  <si>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</si>
  <si>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</si>
  <si>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</si>
  <si>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</si>
  <si>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</si>
  <si>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</si>
  <si>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</si>
  <si>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</si>
  <si>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</si>
  <si>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</si>
  <si>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</si>
  <si>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</si>
  <si>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</si>
  <si>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</si>
  <si>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</si>
  <si>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</si>
  <si>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</si>
  <si>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</si>
  <si>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</si>
  <si>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</si>
  <si>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</si>
  <si>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</si>
  <si>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</si>
  <si>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</si>
  <si>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</si>
  <si>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</si>
  <si>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</si>
  <si>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</si>
  <si>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</si>
  <si>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</si>
  <si>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</si>
  <si>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</si>
  <si>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</si>
  <si>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</si>
  <si>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</si>
  <si>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</si>
  <si>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</si>
  <si>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</si>
  <si>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</si>
  <si>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</si>
  <si>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</si>
  <si>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</si>
  <si>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</si>
  <si>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</si>
  <si>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</si>
  <si>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</si>
  <si>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</si>
  <si>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</si>
  <si>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</si>
  <si>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</si>
  <si>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</si>
  <si>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B1658</t>
  </si>
  <si>
    <t>B1659</t>
  </si>
  <si>
    <t>B1660</t>
  </si>
  <si>
    <t>B1661</t>
  </si>
  <si>
    <t>B1662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</si>
  <si>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</si>
  <si>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</si>
  <si>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</si>
  <si>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</si>
  <si>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</si>
  <si>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</si>
  <si>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</si>
  <si>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</si>
  <si>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</si>
  <si>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</si>
  <si>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</si>
  <si>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</si>
  <si>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</si>
  <si>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</si>
  <si>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</si>
  <si>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</si>
  <si>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</si>
  <si>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</si>
  <si>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</si>
  <si>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</si>
  <si>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</si>
  <si>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</si>
  <si>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</si>
  <si>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</si>
  <si>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</si>
  <si>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</si>
  <si>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</si>
  <si>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</si>
  <si>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</si>
  <si>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</si>
  <si>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</si>
  <si>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</si>
  <si>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</si>
  <si>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</si>
  <si>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</si>
  <si>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</si>
  <si>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</si>
  <si>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</si>
  <si>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</si>
  <si>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</si>
  <si>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</si>
  <si>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</si>
  <si>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</si>
  <si>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</si>
  <si>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</si>
  <si>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</si>
  <si>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</si>
  <si>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</si>
  <si>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</si>
  <si>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</si>
  <si>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</si>
  <si>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</si>
  <si>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</si>
  <si>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</si>
  <si>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</si>
  <si>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</si>
  <si>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</si>
  <si>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B1720</t>
  </si>
  <si>
    <t>B1721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</si>
  <si>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</si>
  <si>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</si>
  <si>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</si>
  <si>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</si>
  <si>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</si>
  <si>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</si>
  <si>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</si>
  <si>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</si>
  <si>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</si>
  <si>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</si>
  <si>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</si>
  <si>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</si>
  <si>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</si>
  <si>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</si>
  <si>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</si>
  <si>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</si>
  <si>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</si>
  <si>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</si>
  <si>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</si>
  <si>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</si>
  <si>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</si>
  <si>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</si>
  <si>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</si>
  <si>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</si>
  <si>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</si>
  <si>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</si>
  <si>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</si>
  <si>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</si>
  <si>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</si>
  <si>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</si>
  <si>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</si>
  <si>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</si>
  <si>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</si>
  <si>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</si>
  <si>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</si>
  <si>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</si>
  <si>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</si>
  <si>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</si>
  <si>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</si>
  <si>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</si>
  <si>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</si>
  <si>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B1763</t>
  </si>
  <si>
    <t>B1764</t>
  </si>
  <si>
    <t>B1765</t>
  </si>
  <si>
    <t>B1766</t>
  </si>
  <si>
    <t>B1767</t>
  </si>
  <si>
    <t>B1768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</si>
  <si>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</si>
  <si>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</si>
  <si>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</si>
  <si>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</si>
  <si>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</si>
  <si>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</si>
  <si>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</si>
  <si>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</si>
  <si>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</si>
  <si>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</si>
  <si>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B1779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</si>
  <si>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</si>
  <si>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</si>
  <si>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</si>
  <si>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</si>
  <si>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</si>
  <si>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</si>
  <si>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</si>
  <si>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</si>
  <si>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</si>
  <si>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</si>
  <si>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</si>
  <si>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</si>
  <si>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</si>
  <si>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</si>
  <si>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</si>
  <si>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</si>
  <si>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</si>
  <si>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</si>
  <si>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</si>
  <si>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</si>
  <si>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</si>
  <si>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</si>
  <si>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</si>
  <si>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</si>
  <si>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</si>
  <si>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</si>
  <si>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</si>
  <si>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</si>
  <si>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</si>
  <si>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</si>
  <si>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</si>
  <si>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</si>
  <si>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</si>
  <si>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</si>
  <si>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</si>
  <si>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</si>
  <si>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</si>
  <si>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</si>
  <si>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</si>
  <si>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</si>
  <si>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</si>
  <si>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</si>
  <si>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</si>
  <si>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</si>
  <si>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</si>
  <si>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</si>
  <si>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</si>
  <si>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</si>
  <si>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</si>
  <si>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</si>
  <si>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</si>
  <si>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</si>
  <si>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</si>
  <si>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</si>
  <si>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</si>
  <si>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</si>
  <si>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</si>
  <si>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</si>
  <si>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</si>
  <si>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</si>
  <si>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</si>
  <si>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</si>
  <si>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</si>
  <si>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</si>
  <si>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</si>
  <si>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</si>
  <si>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</si>
  <si>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</si>
  <si>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</si>
  <si>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</si>
  <si>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</si>
  <si>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</si>
  <si>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</si>
  <si>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</si>
  <si>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</si>
  <si>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</si>
  <si>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</si>
  <si>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</si>
  <si>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</si>
  <si>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</si>
  <si>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</si>
  <si>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</si>
  <si>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</si>
  <si>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</si>
  <si>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</si>
  <si>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</si>
  <si>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</si>
  <si>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</si>
  <si>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</si>
  <si>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</si>
  <si>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</si>
  <si>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</si>
  <si>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</si>
  <si>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</si>
  <si>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</si>
  <si>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</si>
  <si>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</si>
  <si>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</si>
  <si>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</si>
  <si>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</si>
  <si>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</si>
  <si>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</si>
  <si>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</si>
  <si>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</si>
  <si>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</si>
  <si>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</si>
  <si>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</si>
  <si>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</si>
  <si>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</si>
  <si>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</si>
  <si>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</si>
  <si>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</si>
  <si>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</si>
  <si>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</si>
  <si>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</si>
  <si>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</si>
  <si>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B1896</t>
  </si>
  <si>
    <t>B1897</t>
  </si>
  <si>
    <t>B1898</t>
  </si>
  <si>
    <t>B1899</t>
  </si>
  <si>
    <t>B1900</t>
  </si>
  <si>
    <t>B1901</t>
  </si>
  <si>
    <t>B1902</t>
  </si>
  <si>
    <t>B1903</t>
  </si>
  <si>
    <t>B1904</t>
  </si>
  <si>
    <t>B1905</t>
  </si>
  <si>
    <t>B1906</t>
  </si>
  <si>
    <t>B1907</t>
  </si>
  <si>
    <t>B1908</t>
  </si>
  <si>
    <t>B1909</t>
  </si>
  <si>
    <t>B1910</t>
  </si>
  <si>
    <t>B1911</t>
  </si>
  <si>
    <t>B1912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</si>
  <si>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</si>
  <si>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</si>
  <si>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</si>
  <si>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</si>
  <si>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</si>
  <si>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</si>
  <si>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</si>
  <si>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</si>
  <si>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</si>
  <si>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</si>
  <si>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</si>
  <si>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</si>
  <si>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</si>
  <si>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</si>
  <si>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</si>
  <si>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</si>
  <si>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</si>
  <si>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</si>
  <si>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</si>
  <si>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</si>
  <si>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B1933</t>
  </si>
  <si>
    <t>B1934</t>
  </si>
  <si>
    <t>B1935</t>
  </si>
  <si>
    <t>B1936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</si>
  <si>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</si>
  <si>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</si>
  <si>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</si>
  <si>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</si>
  <si>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</si>
  <si>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</si>
  <si>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</si>
  <si>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</si>
  <si>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</si>
  <si>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</si>
  <si>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</si>
  <si>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</si>
  <si>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</si>
  <si>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</si>
  <si>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</si>
  <si>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</si>
  <si>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</si>
  <si>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B1954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</si>
  <si>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</si>
  <si>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</si>
  <si>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</si>
  <si>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</si>
  <si>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</si>
  <si>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</si>
  <si>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</si>
  <si>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</si>
  <si>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</si>
  <si>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B1964</t>
  </si>
  <si>
    <t>B1965</t>
  </si>
  <si>
    <t>B1966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</si>
  <si>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</si>
  <si>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</si>
  <si>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</si>
  <si>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</si>
  <si>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</si>
  <si>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</si>
  <si>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</si>
  <si>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</si>
  <si>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B1975</t>
  </si>
  <si>
    <t>B1976</t>
  </si>
  <si>
    <t>B1977</t>
  </si>
  <si>
    <t>B1978</t>
  </si>
  <si>
    <t>B1979</t>
  </si>
  <si>
    <t>B1980</t>
  </si>
  <si>
    <t>B1981</t>
  </si>
  <si>
    <t>B1982</t>
  </si>
  <si>
    <t>B1983</t>
  </si>
  <si>
    <t>B1984</t>
  </si>
  <si>
    <t>B1985</t>
  </si>
  <si>
    <t>B1986</t>
  </si>
  <si>
    <t>B1987</t>
  </si>
  <si>
    <t>B1988</t>
  </si>
  <si>
    <t>B1989</t>
  </si>
  <si>
    <t>B1990</t>
  </si>
  <si>
    <t>B1991</t>
  </si>
  <si>
    <t>B1992</t>
  </si>
  <si>
    <t>B1993</t>
  </si>
  <si>
    <t>B1994</t>
  </si>
  <si>
    <t>B1995</t>
  </si>
  <si>
    <t>B1996</t>
  </si>
  <si>
    <t>B1997</t>
  </si>
  <si>
    <t>B1998</t>
  </si>
  <si>
    <t>B1999</t>
  </si>
  <si>
    <t>B2000</t>
  </si>
  <si>
    <t>B2001</t>
  </si>
  <si>
    <t>B2002</t>
  </si>
  <si>
    <t>B2003</t>
  </si>
  <si>
    <t>B2004</t>
  </si>
  <si>
    <t>B2005</t>
  </si>
  <si>
    <t>B2006</t>
  </si>
  <si>
    <t>B2007</t>
  </si>
  <si>
    <t>B2008</t>
  </si>
  <si>
    <t>B2009</t>
  </si>
  <si>
    <t>B2010</t>
  </si>
  <si>
    <t>B2011</t>
  </si>
  <si>
    <t>B2012</t>
  </si>
  <si>
    <t>B2013</t>
  </si>
  <si>
    <t>B2014</t>
  </si>
  <si>
    <t>B2015</t>
  </si>
  <si>
    <t>B2016</t>
  </si>
  <si>
    <t>B2017</t>
  </si>
  <si>
    <t>B2018</t>
  </si>
  <si>
    <t>B2019</t>
  </si>
  <si>
    <t>B2020</t>
  </si>
  <si>
    <t>B2021</t>
  </si>
  <si>
    <t>B2022</t>
  </si>
  <si>
    <t>B2023</t>
  </si>
  <si>
    <t>B2024</t>
  </si>
  <si>
    <t>B2025</t>
  </si>
  <si>
    <t>B2026</t>
  </si>
  <si>
    <t>B2027</t>
  </si>
  <si>
    <t>B2028</t>
  </si>
  <si>
    <t>B2029</t>
  </si>
  <si>
    <t>B2030</t>
  </si>
  <si>
    <t>B2031</t>
  </si>
  <si>
    <t>B2032</t>
  </si>
  <si>
    <t>B2033</t>
  </si>
  <si>
    <t>B2034</t>
  </si>
  <si>
    <t>B2035</t>
  </si>
  <si>
    <t>B2036</t>
  </si>
  <si>
    <t>B2037</t>
  </si>
  <si>
    <t>B2038</t>
  </si>
  <si>
    <t>B2039</t>
  </si>
  <si>
    <t>B2040</t>
  </si>
  <si>
    <t>B2041</t>
  </si>
  <si>
    <t>B2042</t>
  </si>
  <si>
    <t>B2043</t>
  </si>
  <si>
    <t>B2044</t>
  </si>
  <si>
    <t>B2045</t>
  </si>
  <si>
    <t>B2046</t>
  </si>
  <si>
    <t>B2047</t>
  </si>
  <si>
    <t>B2048</t>
  </si>
  <si>
    <t>B2049</t>
  </si>
  <si>
    <t>B2050</t>
  </si>
  <si>
    <t>B2051</t>
  </si>
  <si>
    <t>B2052</t>
  </si>
  <si>
    <t>B2053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</si>
  <si>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</si>
  <si>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</si>
  <si>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</si>
  <si>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</si>
  <si>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</si>
  <si>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</si>
  <si>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</si>
  <si>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</si>
  <si>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</si>
  <si>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</si>
  <si>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</si>
  <si>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B2065</t>
  </si>
  <si>
    <t>B2066</t>
  </si>
  <si>
    <t>B2067</t>
  </si>
  <si>
    <t>B2068</t>
  </si>
  <si>
    <t>B2069</t>
  </si>
  <si>
    <t>B2070</t>
  </si>
  <si>
    <t>B2071</t>
  </si>
  <si>
    <t>B2072</t>
  </si>
  <si>
    <t>B2073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</si>
  <si>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</si>
  <si>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</si>
  <si>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</si>
  <si>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</si>
  <si>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</si>
  <si>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</si>
  <si>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</si>
  <si>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</si>
  <si>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B2082</t>
  </si>
  <si>
    <t>B2083</t>
  </si>
  <si>
    <t>B2084</t>
  </si>
  <si>
    <t>B2085</t>
  </si>
  <si>
    <t>B2086</t>
  </si>
  <si>
    <t>B2087</t>
  </si>
  <si>
    <t>B2088</t>
  </si>
  <si>
    <t>B2089</t>
  </si>
  <si>
    <t>B2090</t>
  </si>
  <si>
    <t>B2091</t>
  </si>
  <si>
    <t>B2092</t>
  </si>
  <si>
    <t>B2093</t>
  </si>
  <si>
    <t>B2094</t>
  </si>
  <si>
    <t>B2095</t>
  </si>
  <si>
    <t>B2096</t>
  </si>
  <si>
    <t>B2097</t>
  </si>
  <si>
    <t>B2098</t>
  </si>
  <si>
    <t>B2099</t>
  </si>
  <si>
    <t>B2100</t>
  </si>
  <si>
    <t>B2101</t>
  </si>
  <si>
    <t>B2102</t>
  </si>
  <si>
    <t>B2103</t>
  </si>
  <si>
    <t>B2104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</si>
  <si>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</si>
  <si>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</si>
  <si>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</si>
  <si>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</si>
  <si>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</si>
  <si>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</si>
  <si>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</si>
  <si>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</si>
  <si>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</si>
  <si>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B2114</t>
  </si>
  <si>
    <t>B2115</t>
  </si>
  <si>
    <t>B2116</t>
  </si>
  <si>
    <t>B2117</t>
  </si>
  <si>
    <t>B2118</t>
  </si>
  <si>
    <t>B2119</t>
  </si>
  <si>
    <t>B2120</t>
  </si>
  <si>
    <t>B2121</t>
  </si>
  <si>
    <t>B2122</t>
  </si>
  <si>
    <t>B2123</t>
  </si>
  <si>
    <t>B2124</t>
  </si>
  <si>
    <t>B2125</t>
  </si>
  <si>
    <t>B2126</t>
  </si>
  <si>
    <t>B2127</t>
  </si>
  <si>
    <t>B2128</t>
  </si>
  <si>
    <t>B2129</t>
  </si>
  <si>
    <t>B2130</t>
  </si>
  <si>
    <t>B2131</t>
  </si>
  <si>
    <t>B2132</t>
  </si>
  <si>
    <t>B2133</t>
  </si>
  <si>
    <t>B2134</t>
  </si>
  <si>
    <t>B2135</t>
  </si>
  <si>
    <t>B2136</t>
  </si>
  <si>
    <t>B2137</t>
  </si>
  <si>
    <t>B2138</t>
  </si>
  <si>
    <t>B2139</t>
  </si>
  <si>
    <t>B2140</t>
  </si>
  <si>
    <t>B2141</t>
  </si>
  <si>
    <t>B2142</t>
  </si>
  <si>
    <t>B2143</t>
  </si>
  <si>
    <t>B2144</t>
  </si>
  <si>
    <t>B2145</t>
  </si>
  <si>
    <t>B2146</t>
  </si>
  <si>
    <t>B2147</t>
  </si>
  <si>
    <t>B2148</t>
  </si>
  <si>
    <t>B2149</t>
  </si>
  <si>
    <t>B2150</t>
  </si>
  <si>
    <t>B2151</t>
  </si>
  <si>
    <t>B2152</t>
  </si>
  <si>
    <t>B2153</t>
  </si>
  <si>
    <t>B2154</t>
  </si>
  <si>
    <t>B2155</t>
  </si>
  <si>
    <t>B2156</t>
  </si>
  <si>
    <t>B2157</t>
  </si>
  <si>
    <t>B2158</t>
  </si>
  <si>
    <t>B2159</t>
  </si>
  <si>
    <t>B2160</t>
  </si>
  <si>
    <t>B2161</t>
  </si>
  <si>
    <t>B2162</t>
  </si>
  <si>
    <t>B2163</t>
  </si>
  <si>
    <t>B2164</t>
  </si>
  <si>
    <t>B2165</t>
  </si>
  <si>
    <t>B2166</t>
  </si>
  <si>
    <t>B2167</t>
  </si>
  <si>
    <t>B2168</t>
  </si>
  <si>
    <t>B2169</t>
  </si>
  <si>
    <t>B2170</t>
  </si>
  <si>
    <t>B2171</t>
  </si>
  <si>
    <t>B2172</t>
  </si>
  <si>
    <t>B2173</t>
  </si>
  <si>
    <t>B2174</t>
  </si>
  <si>
    <t>B2175</t>
  </si>
  <si>
    <t>B2176</t>
  </si>
  <si>
    <t>B2177</t>
  </si>
  <si>
    <t>B2178</t>
  </si>
  <si>
    <t>B2179</t>
  </si>
  <si>
    <t>B2180</t>
  </si>
  <si>
    <t>B2181</t>
  </si>
  <si>
    <t>B2182</t>
  </si>
  <si>
    <t>B2183</t>
  </si>
  <si>
    <t>B2184</t>
  </si>
  <si>
    <t>B2185</t>
  </si>
  <si>
    <t>B2186</t>
  </si>
  <si>
    <t>B2187</t>
  </si>
  <si>
    <t>B2188</t>
  </si>
  <si>
    <t>B2189</t>
  </si>
  <si>
    <t>B2190</t>
  </si>
  <si>
    <t>B2191</t>
  </si>
  <si>
    <t>B2192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</si>
  <si>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</si>
  <si>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</si>
  <si>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</si>
  <si>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</si>
  <si>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</si>
  <si>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</si>
  <si>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</si>
  <si>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</si>
  <si>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</si>
  <si>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B2202</t>
  </si>
  <si>
    <t>B2203</t>
  </si>
  <si>
    <t>B2204</t>
  </si>
  <si>
    <t>B2205</t>
  </si>
  <si>
    <t>B2206</t>
  </si>
  <si>
    <t>B2207</t>
  </si>
  <si>
    <t>B2208</t>
  </si>
  <si>
    <t>B2209</t>
  </si>
  <si>
    <t>B2210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</si>
  <si>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</si>
  <si>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</si>
  <si>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</si>
  <si>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</si>
  <si>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</si>
  <si>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</si>
  <si>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</si>
  <si>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</si>
  <si>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B2219</t>
  </si>
  <si>
    <t>B2220</t>
  </si>
  <si>
    <t>B2221</t>
  </si>
  <si>
    <t>B2222</t>
  </si>
  <si>
    <t>B2223</t>
  </si>
  <si>
    <t>B2224</t>
  </si>
  <si>
    <t>B2225</t>
  </si>
  <si>
    <t>B2226</t>
  </si>
  <si>
    <t>B2227</t>
  </si>
  <si>
    <t>B2228</t>
  </si>
  <si>
    <t>B2229</t>
  </si>
  <si>
    <t>B2230</t>
  </si>
  <si>
    <t>B2231</t>
  </si>
  <si>
    <t>B2232</t>
  </si>
  <si>
    <t>B2233</t>
  </si>
  <si>
    <t>B2234</t>
  </si>
  <si>
    <t>B2235</t>
  </si>
  <si>
    <t>B2236</t>
  </si>
  <si>
    <t>B2237</t>
  </si>
  <si>
    <t>B2238</t>
  </si>
  <si>
    <t>B2239</t>
  </si>
  <si>
    <t>B2240</t>
  </si>
  <si>
    <t>B2241</t>
  </si>
  <si>
    <t>B2242</t>
  </si>
  <si>
    <t>B2243</t>
  </si>
  <si>
    <t>B2244</t>
  </si>
  <si>
    <t>B2245</t>
  </si>
  <si>
    <t>B2246</t>
  </si>
  <si>
    <t>B2247</t>
  </si>
  <si>
    <t>B2248</t>
  </si>
  <si>
    <t>B2249</t>
  </si>
  <si>
    <t>B2250</t>
  </si>
  <si>
    <t>B2251</t>
  </si>
  <si>
    <t>B2252</t>
  </si>
  <si>
    <t>B2253</t>
  </si>
  <si>
    <t>B2254</t>
  </si>
  <si>
    <t>B2255</t>
  </si>
  <si>
    <t>B2256</t>
  </si>
  <si>
    <t>B2257</t>
  </si>
  <si>
    <t>B2258</t>
  </si>
  <si>
    <t>B2259</t>
  </si>
  <si>
    <t>B2260</t>
  </si>
  <si>
    <t>B2261</t>
  </si>
  <si>
    <t>B2262</t>
  </si>
  <si>
    <t>B2263</t>
  </si>
  <si>
    <t>B2264</t>
  </si>
  <si>
    <t>B2265</t>
  </si>
  <si>
    <t>B2266</t>
  </si>
  <si>
    <t>B2267</t>
  </si>
  <si>
    <t>B2268</t>
  </si>
  <si>
    <t>B2269</t>
  </si>
  <si>
    <t>B2270</t>
  </si>
  <si>
    <t>B2271</t>
  </si>
  <si>
    <t>B2272</t>
  </si>
  <si>
    <t>B2273</t>
  </si>
  <si>
    <t>B2274</t>
  </si>
  <si>
    <t>B2275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</si>
  <si>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</si>
  <si>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</si>
  <si>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</si>
  <si>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</si>
  <si>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</si>
  <si>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</si>
  <si>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</si>
  <si>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</si>
  <si>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</si>
  <si>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</si>
  <si>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</si>
  <si>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</si>
  <si>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</si>
  <si>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B2289</t>
  </si>
  <si>
    <t>B2290</t>
  </si>
  <si>
    <t>B2291</t>
  </si>
  <si>
    <t>B2292</t>
  </si>
  <si>
    <t>B2293</t>
  </si>
  <si>
    <t>B2294</t>
  </si>
  <si>
    <t>B2295</t>
  </si>
  <si>
    <t>B2296</t>
  </si>
  <si>
    <t>B2297</t>
  </si>
  <si>
    <t>B2298</t>
  </si>
  <si>
    <t>B2299</t>
  </si>
  <si>
    <t>B2300</t>
  </si>
  <si>
    <t>B2301</t>
  </si>
  <si>
    <t>B2302</t>
  </si>
  <si>
    <t>B2303</t>
  </si>
  <si>
    <t>B2304</t>
  </si>
  <si>
    <t>B2305</t>
  </si>
  <si>
    <t>B2306</t>
  </si>
  <si>
    <t>B2307</t>
  </si>
  <si>
    <t>B2308</t>
  </si>
  <si>
    <t>B2309</t>
  </si>
  <si>
    <t>B2310</t>
  </si>
  <si>
    <t>B2311</t>
  </si>
  <si>
    <t>B2312</t>
  </si>
  <si>
    <t>B2313</t>
  </si>
  <si>
    <t>B2314</t>
  </si>
  <si>
    <t>B2315</t>
  </si>
  <si>
    <t>B2316</t>
  </si>
  <si>
    <t>B2317</t>
  </si>
  <si>
    <t>B2318</t>
  </si>
  <si>
    <t>B2319</t>
  </si>
  <si>
    <t>B2320</t>
  </si>
  <si>
    <t>B2321</t>
  </si>
  <si>
    <t>B2322</t>
  </si>
  <si>
    <t>B2323</t>
  </si>
  <si>
    <t>B2324</t>
  </si>
  <si>
    <t>B2325</t>
  </si>
  <si>
    <t>B2326</t>
  </si>
  <si>
    <t>B2327</t>
  </si>
  <si>
    <t>B2328</t>
  </si>
  <si>
    <t>B2329</t>
  </si>
  <si>
    <t>B2330</t>
  </si>
  <si>
    <t>B2331</t>
  </si>
  <si>
    <t>B2332</t>
  </si>
  <si>
    <t>B2333</t>
  </si>
  <si>
    <t>B2334</t>
  </si>
  <si>
    <t>B2335</t>
  </si>
  <si>
    <t>B2336</t>
  </si>
  <si>
    <t>B2337</t>
  </si>
  <si>
    <t>B2338</t>
  </si>
  <si>
    <t>B2339</t>
  </si>
  <si>
    <t>B2340</t>
  </si>
  <si>
    <t>B2341</t>
  </si>
  <si>
    <t>B2342</t>
  </si>
  <si>
    <t>B2343</t>
  </si>
  <si>
    <t>B2344</t>
  </si>
  <si>
    <t>B2345</t>
  </si>
  <si>
    <t>B2346</t>
  </si>
  <si>
    <t>B2347</t>
  </si>
  <si>
    <t>B2348</t>
  </si>
  <si>
    <t>B2349</t>
  </si>
  <si>
    <t>B2350</t>
  </si>
  <si>
    <t>B2351</t>
  </si>
  <si>
    <t>B2352</t>
  </si>
  <si>
    <t>B2353</t>
  </si>
  <si>
    <t>B2354</t>
  </si>
  <si>
    <t>B2355</t>
  </si>
  <si>
    <t>B2356</t>
  </si>
  <si>
    <t>B2357</t>
  </si>
  <si>
    <t>B2358</t>
  </si>
  <si>
    <t>B2359</t>
  </si>
  <si>
    <t>B2360</t>
  </si>
  <si>
    <t>B2361</t>
  </si>
  <si>
    <t>B2362</t>
  </si>
  <si>
    <t>B2363</t>
  </si>
  <si>
    <t>B2364</t>
  </si>
  <si>
    <t>B2365</t>
  </si>
  <si>
    <t>B2366</t>
  </si>
  <si>
    <t>B2367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</si>
  <si>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</si>
  <si>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</si>
  <si>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</si>
  <si>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</si>
  <si>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</si>
  <si>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</si>
  <si>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</si>
  <si>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</si>
  <si>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B2376</t>
  </si>
  <si>
    <t>B2377</t>
  </si>
  <si>
    <t>B2378</t>
  </si>
  <si>
    <t>B2379</t>
  </si>
  <si>
    <t>B2380</t>
  </si>
  <si>
    <t>B2381</t>
  </si>
  <si>
    <t>B2382</t>
  </si>
  <si>
    <t>B2383</t>
  </si>
  <si>
    <t>B2384</t>
  </si>
  <si>
    <t>B2385</t>
  </si>
  <si>
    <t>B2386</t>
  </si>
  <si>
    <t>B2387</t>
  </si>
  <si>
    <t>B2388</t>
  </si>
  <si>
    <t>B2389</t>
  </si>
  <si>
    <t>B2390</t>
  </si>
  <si>
    <t>B2391</t>
  </si>
  <si>
    <t>B2392</t>
  </si>
  <si>
    <t>B2393</t>
  </si>
  <si>
    <t>B2394</t>
  </si>
  <si>
    <t>B2395</t>
  </si>
  <si>
    <t>B2396</t>
  </si>
  <si>
    <t>B2397</t>
  </si>
  <si>
    <t>B2398</t>
  </si>
  <si>
    <t>B2399</t>
  </si>
  <si>
    <t>B2400</t>
  </si>
  <si>
    <t>B2401</t>
  </si>
  <si>
    <t>B2402</t>
  </si>
  <si>
    <t>B2403</t>
  </si>
  <si>
    <t>B2404</t>
  </si>
  <si>
    <t>B2405</t>
  </si>
  <si>
    <t>B2406</t>
  </si>
  <si>
    <t>B2407</t>
  </si>
  <si>
    <t>B2408</t>
  </si>
  <si>
    <t>B2409</t>
  </si>
  <si>
    <t>B2410</t>
  </si>
  <si>
    <t>B2411</t>
  </si>
  <si>
    <t>B2412</t>
  </si>
  <si>
    <t>B2413</t>
  </si>
  <si>
    <t>B2414</t>
  </si>
  <si>
    <t>B2415</t>
  </si>
  <si>
    <t>B2416</t>
  </si>
  <si>
    <t>B2417</t>
  </si>
  <si>
    <t>B2418</t>
  </si>
  <si>
    <t>B2419</t>
  </si>
  <si>
    <t>B2420</t>
  </si>
  <si>
    <t>B2421</t>
  </si>
  <si>
    <t>B2422</t>
  </si>
  <si>
    <t>B2423</t>
  </si>
  <si>
    <t>B2424</t>
  </si>
  <si>
    <t>B2425</t>
  </si>
  <si>
    <t>B2426</t>
  </si>
  <si>
    <t>B2427</t>
  </si>
  <si>
    <t>B2428</t>
  </si>
  <si>
    <t>B2429</t>
  </si>
  <si>
    <t>B2430</t>
  </si>
  <si>
    <t>B2431</t>
  </si>
  <si>
    <t>B2432</t>
  </si>
  <si>
    <t>B2433</t>
  </si>
  <si>
    <t>B2434</t>
  </si>
  <si>
    <t>B2435</t>
  </si>
  <si>
    <t>B2436</t>
  </si>
  <si>
    <t>B2437</t>
  </si>
  <si>
    <t>B2438</t>
  </si>
  <si>
    <t>B2439</t>
  </si>
  <si>
    <t>B2440</t>
  </si>
  <si>
    <t>B2441</t>
  </si>
  <si>
    <t>B2442</t>
  </si>
  <si>
    <t>B2443</t>
  </si>
  <si>
    <t>B2444</t>
  </si>
  <si>
    <t>B2445</t>
  </si>
  <si>
    <t>B2446</t>
  </si>
  <si>
    <t>B2447</t>
  </si>
  <si>
    <t>B2448</t>
  </si>
  <si>
    <t>B2449</t>
  </si>
  <si>
    <t>B2450</t>
  </si>
  <si>
    <t>B2451</t>
  </si>
  <si>
    <t>B2452</t>
  </si>
  <si>
    <t>B2453</t>
  </si>
  <si>
    <t>B2454</t>
  </si>
  <si>
    <t>B2455</t>
  </si>
  <si>
    <t>B2456</t>
  </si>
  <si>
    <t>B2457</t>
  </si>
  <si>
    <t>B2458</t>
  </si>
  <si>
    <t>B2459</t>
  </si>
  <si>
    <t>B2460</t>
  </si>
  <si>
    <t>B2461</t>
  </si>
  <si>
    <t>B2462</t>
  </si>
  <si>
    <t>B2463</t>
  </si>
  <si>
    <t>B2464</t>
  </si>
  <si>
    <t>B2465</t>
  </si>
  <si>
    <t>B2466</t>
  </si>
  <si>
    <t>B2467</t>
  </si>
  <si>
    <t>B2468</t>
  </si>
  <si>
    <t>B2469</t>
  </si>
  <si>
    <t>B2470</t>
  </si>
  <si>
    <t>B2471</t>
  </si>
  <si>
    <t>B2472</t>
  </si>
  <si>
    <t>B2473</t>
  </si>
  <si>
    <t>B2474</t>
  </si>
  <si>
    <t>B2475</t>
  </si>
  <si>
    <t>B2476</t>
  </si>
  <si>
    <t>B2477</t>
  </si>
  <si>
    <t>B2478</t>
  </si>
  <si>
    <t>B2479</t>
  </si>
  <si>
    <t>B2480</t>
  </si>
  <si>
    <t>B2481</t>
  </si>
  <si>
    <t>B2482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</si>
  <si>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</si>
  <si>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</si>
  <si>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</si>
  <si>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</si>
  <si>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</si>
  <si>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</si>
  <si>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</si>
  <si>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</si>
  <si>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B2491</t>
  </si>
  <si>
    <t>B2492</t>
  </si>
  <si>
    <t>B2493</t>
  </si>
  <si>
    <t>B2494</t>
  </si>
  <si>
    <t>B2495</t>
  </si>
  <si>
    <t>B2496</t>
  </si>
  <si>
    <t>B2497</t>
  </si>
  <si>
    <t>B2498</t>
  </si>
  <si>
    <t>B2499</t>
  </si>
  <si>
    <t>NC_ID</t>
  </si>
  <si>
    <t>Defect_Type</t>
  </si>
  <si>
    <t>Severity</t>
  </si>
  <si>
    <t>Status</t>
  </si>
  <si>
    <t>Root_Cause</t>
  </si>
  <si>
    <t>Corrective_Action</t>
  </si>
  <si>
    <t>NC_1</t>
  </si>
  <si>
    <t>Undersize</t>
  </si>
  <si>
    <t>Low</t>
  </si>
  <si>
    <t>Open</t>
  </si>
  <si>
    <t>Tool Wear</t>
  </si>
  <si>
    <t>Material Change</t>
  </si>
  <si>
    <t>NC_2</t>
  </si>
  <si>
    <t>Medium</t>
  </si>
  <si>
    <t>Closed</t>
  </si>
  <si>
    <t>Tool Replacement</t>
  </si>
  <si>
    <t>NC_3</t>
  </si>
  <si>
    <t>Surface Scratch</t>
  </si>
  <si>
    <t>High</t>
  </si>
  <si>
    <t>NC_4</t>
  </si>
  <si>
    <t>Burr Formation</t>
  </si>
  <si>
    <t>In Progress</t>
  </si>
  <si>
    <t>Process Adjustment</t>
  </si>
  <si>
    <t>NC_5</t>
  </si>
  <si>
    <t>Improper Setup</t>
  </si>
  <si>
    <t>NC_6</t>
  </si>
  <si>
    <t>Operator Error</t>
  </si>
  <si>
    <t>Operator Retraining</t>
  </si>
  <si>
    <t>NC_7</t>
  </si>
  <si>
    <t>NC_8</t>
  </si>
  <si>
    <t>NC_9</t>
  </si>
  <si>
    <t>NC_10</t>
  </si>
  <si>
    <t>NC_11</t>
  </si>
  <si>
    <t>NC_12</t>
  </si>
  <si>
    <t>NC_13</t>
  </si>
  <si>
    <t>Oversize</t>
  </si>
  <si>
    <t>NC_14</t>
  </si>
  <si>
    <t>NC_15</t>
  </si>
  <si>
    <t>NC_16</t>
  </si>
  <si>
    <t>NC_17</t>
  </si>
  <si>
    <t>Material Variation</t>
  </si>
  <si>
    <t>NC_18</t>
  </si>
  <si>
    <t>NC_19</t>
  </si>
  <si>
    <t>NC_20</t>
  </si>
  <si>
    <t>NC_21</t>
  </si>
  <si>
    <t>NC_22</t>
  </si>
  <si>
    <t>NC_23</t>
  </si>
  <si>
    <t>NC_24</t>
  </si>
  <si>
    <t>NC_25</t>
  </si>
  <si>
    <t>NC_26</t>
  </si>
  <si>
    <t>NC_27</t>
  </si>
  <si>
    <t>NC_28</t>
  </si>
  <si>
    <t>NC_29</t>
  </si>
  <si>
    <t>NC_30</t>
  </si>
  <si>
    <t>NC_31</t>
  </si>
  <si>
    <t>NC_32</t>
  </si>
  <si>
    <t>NC_33</t>
  </si>
  <si>
    <t>NC_34</t>
  </si>
  <si>
    <t>NC_35</t>
  </si>
  <si>
    <t>NC_36</t>
  </si>
  <si>
    <t>NC_37</t>
  </si>
  <si>
    <t>NC_38</t>
  </si>
  <si>
    <t>NC_39</t>
  </si>
  <si>
    <t>NC_40</t>
  </si>
  <si>
    <t>NC_41</t>
  </si>
  <si>
    <t>NC_42</t>
  </si>
  <si>
    <t>NC_43</t>
  </si>
  <si>
    <t>NC_44</t>
  </si>
  <si>
    <t>NC_45</t>
  </si>
  <si>
    <t>NC_46</t>
  </si>
  <si>
    <t>NC_47</t>
  </si>
  <si>
    <t>NC_48</t>
  </si>
  <si>
    <t>NC_49</t>
  </si>
  <si>
    <t>NC_50</t>
  </si>
  <si>
    <t>NC_51</t>
  </si>
  <si>
    <t>NC_52</t>
  </si>
  <si>
    <t>NC_53</t>
  </si>
  <si>
    <t>NC_54</t>
  </si>
  <si>
    <t>NC_55</t>
  </si>
  <si>
    <t>NC_56</t>
  </si>
  <si>
    <t>NC_57</t>
  </si>
  <si>
    <t>NC_58</t>
  </si>
  <si>
    <t>NC_59</t>
  </si>
  <si>
    <t>NC_60</t>
  </si>
  <si>
    <t>NC_61</t>
  </si>
  <si>
    <t>NC_62</t>
  </si>
  <si>
    <t>NC_63</t>
  </si>
  <si>
    <t>NC_64</t>
  </si>
  <si>
    <t>NC_65</t>
  </si>
  <si>
    <t>NC_66</t>
  </si>
  <si>
    <t>NC_67</t>
  </si>
  <si>
    <t>NC_68</t>
  </si>
  <si>
    <t>NC_69</t>
  </si>
  <si>
    <t>NC_70</t>
  </si>
  <si>
    <t>NC_71</t>
  </si>
  <si>
    <t>NC_72</t>
  </si>
  <si>
    <t>NC_73</t>
  </si>
  <si>
    <t>NC_74</t>
  </si>
  <si>
    <t>NC_75</t>
  </si>
  <si>
    <t>NC_76</t>
  </si>
  <si>
    <t>NC_77</t>
  </si>
  <si>
    <t>NC_78</t>
  </si>
  <si>
    <t>NC_79</t>
  </si>
  <si>
    <t>NC_80</t>
  </si>
  <si>
    <t>NC_81</t>
  </si>
  <si>
    <t>NC_82</t>
  </si>
  <si>
    <t>NC_83</t>
  </si>
  <si>
    <t>NC_84</t>
  </si>
  <si>
    <t>NC_85</t>
  </si>
  <si>
    <t>NC_86</t>
  </si>
  <si>
    <t>NC_87</t>
  </si>
  <si>
    <t>NC_88</t>
  </si>
  <si>
    <t>NC_89</t>
  </si>
  <si>
    <t>NC_90</t>
  </si>
  <si>
    <t>NC_91</t>
  </si>
  <si>
    <t>NC_92</t>
  </si>
  <si>
    <t>NC_93</t>
  </si>
  <si>
    <t>NC_94</t>
  </si>
  <si>
    <t>NC_95</t>
  </si>
  <si>
    <t>NC_96</t>
  </si>
  <si>
    <t>NC_97</t>
  </si>
  <si>
    <t>NC_98</t>
  </si>
  <si>
    <t>NC_99</t>
  </si>
  <si>
    <t>NC_100</t>
  </si>
  <si>
    <t>NC_101</t>
  </si>
  <si>
    <t>NC_102</t>
  </si>
  <si>
    <t>NC_103</t>
  </si>
  <si>
    <t>NC_104</t>
  </si>
  <si>
    <t>NC_105</t>
  </si>
  <si>
    <t>NC_106</t>
  </si>
  <si>
    <t>NC_107</t>
  </si>
  <si>
    <t>NC_108</t>
  </si>
  <si>
    <t>NC_109</t>
  </si>
  <si>
    <t>NC_110</t>
  </si>
  <si>
    <t>NC_111</t>
  </si>
  <si>
    <t>NC_112</t>
  </si>
  <si>
    <t>NC_113</t>
  </si>
  <si>
    <t>NC_114</t>
  </si>
  <si>
    <t>NC_115</t>
  </si>
  <si>
    <t>NC_116</t>
  </si>
  <si>
    <t>NC_117</t>
  </si>
  <si>
    <t>NC_118</t>
  </si>
  <si>
    <t>NC_119</t>
  </si>
  <si>
    <t>NC_120</t>
  </si>
  <si>
    <t>NC_121</t>
  </si>
  <si>
    <t>NC_122</t>
  </si>
  <si>
    <t>NC_123</t>
  </si>
  <si>
    <t>NC_124</t>
  </si>
  <si>
    <t>NC_125</t>
  </si>
  <si>
    <t>NC_126</t>
  </si>
  <si>
    <t>NC_127</t>
  </si>
  <si>
    <t>NC_128</t>
  </si>
  <si>
    <t>NC_129</t>
  </si>
  <si>
    <t>NC_130</t>
  </si>
  <si>
    <t>NC_131</t>
  </si>
  <si>
    <t>NC_132</t>
  </si>
  <si>
    <t>NC_133</t>
  </si>
  <si>
    <t>NC_134</t>
  </si>
  <si>
    <t>NC_135</t>
  </si>
  <si>
    <t>NC_136</t>
  </si>
  <si>
    <t>NC_137</t>
  </si>
  <si>
    <t>NC_138</t>
  </si>
  <si>
    <t>NC_139</t>
  </si>
  <si>
    <t>NC_140</t>
  </si>
  <si>
    <t>NC_141</t>
  </si>
  <si>
    <t>NC_142</t>
  </si>
  <si>
    <t>NC_143</t>
  </si>
  <si>
    <t>NC_144</t>
  </si>
  <si>
    <t>NC_145</t>
  </si>
  <si>
    <t>NC_146</t>
  </si>
  <si>
    <t>NC_147</t>
  </si>
  <si>
    <t>NC_148</t>
  </si>
  <si>
    <t>NC_149</t>
  </si>
  <si>
    <t>NC_150</t>
  </si>
  <si>
    <t>Last_Calibration_Date</t>
  </si>
  <si>
    <t>Maintenance_Status</t>
  </si>
  <si>
    <t>Up to Date</t>
  </si>
  <si>
    <t>Overdue</t>
  </si>
  <si>
    <t>Due Soon</t>
  </si>
  <si>
    <t>Mean</t>
  </si>
  <si>
    <t>Standard Deviation</t>
  </si>
  <si>
    <t>UCL</t>
  </si>
  <si>
    <t>LCL</t>
  </si>
  <si>
    <t>USL</t>
  </si>
  <si>
    <t>LSL</t>
  </si>
  <si>
    <t>CP</t>
  </si>
  <si>
    <t>CPk(upper)</t>
  </si>
  <si>
    <t>CPk(lower)</t>
  </si>
  <si>
    <t>Min</t>
  </si>
  <si>
    <t>Row Labels</t>
  </si>
  <si>
    <t>Grand Total</t>
  </si>
  <si>
    <t>Average of Measurement_Value_mm</t>
  </si>
  <si>
    <t>StdDev of Measurement_Value_mm</t>
  </si>
  <si>
    <t>Defect Column</t>
  </si>
  <si>
    <t>Defect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</si>
</sst>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ju Dangol" refreshedDate="46067.477487152777" createdVersion="8" refreshedVersion="8" minRefreshableVersion="3" recordCount="1500" xr:uid="{BDC5D1ED-1975-43BB-A568-18A5B2C677B4}">
  <cacheSource type="worksheet">
    <worksheetSource ref="A1:G1501" sheet="Production_Data"/>
  </cacheSource>
  <cacheFields count="7">
    <cacheField name="Date" numFmtId="164">
      <sharedItems containsSemiMixedTypes="0" containsNonDate="0" containsDate="1" containsString="0" minDate="2026-01-01T00:00:00" maxDate="2026-01-31T00:00:00"/>
    </cacheField>
    <cacheField name="Line" numFmtId="0">
      <sharedItems count="3">
        <s v="Line 1"/>
        <s v="Line 2"/>
        <s v="Line 3"/>
      </sharedItems>
    </cacheField>
    <cacheField name="Shift" numFmtId="0">
      <sharedItems/>
    </cacheField>
    <cacheField name="Operator" numFmtId="0">
      <sharedItems/>
    </cacheField>
    <cacheField name="Machine_ID" numFmtId="0">
      <sharedItems/>
    </cacheField>
    <cacheField name="Batch_ID" numFmtId="0">
      <sharedItems/>
    </cacheField>
    <cacheField name="Measurement_Value_mm" numFmtId="0">
      <sharedItems containsSemiMixedTypes="0" containsString="0" containsNumber="1" minValue="9.9369999999999994" maxValue="10.12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6-01-01T00:00:00"/>
    <x v="0"/>
    <s v="Afternoon"/>
    <s v="OP_A"/>
    <s v="M101"/>
    <s v="B1000"/>
    <n v="10.014799999999999"/>
  </r>
  <r>
    <d v="2026-01-01T00:00:00"/>
    <x v="1"/>
    <s v="Afternoon"/>
    <s v="OP_C"/>
    <s v="M102"/>
    <s v="B1001"/>
    <n v="10.0009"/>
  </r>
  <r>
    <d v="2026-01-01T00:00:00"/>
    <x v="0"/>
    <s v="Morning"/>
    <s v="OP_D"/>
    <s v="M102"/>
    <s v="B1002"/>
    <n v="9.9901999999999997"/>
  </r>
  <r>
    <d v="2026-01-01T00:00:00"/>
    <x v="1"/>
    <s v="Night"/>
    <s v="OP_D"/>
    <s v="M102"/>
    <s v="B1003"/>
    <n v="10.059200000000001"/>
  </r>
  <r>
    <d v="2026-01-01T00:00:00"/>
    <x v="1"/>
    <s v="Morning"/>
    <s v="OP_C"/>
    <s v="M301"/>
    <s v="B1004"/>
    <n v="10.0928"/>
  </r>
  <r>
    <d v="2026-01-01T00:00:00"/>
    <x v="2"/>
    <s v="Night"/>
    <s v="OP_C"/>
    <s v="M101"/>
    <s v="B1005"/>
    <n v="9.9957999999999991"/>
  </r>
  <r>
    <d v="2026-01-01T00:00:00"/>
    <x v="0"/>
    <s v="Morning"/>
    <s v="OP_D"/>
    <s v="M301"/>
    <s v="B1006"/>
    <n v="9.9930000000000003"/>
  </r>
  <r>
    <d v="2026-01-01T00:00:00"/>
    <x v="0"/>
    <s v="Afternoon"/>
    <s v="OP_D"/>
    <s v="M102"/>
    <s v="B1007"/>
    <n v="9.9921000000000006"/>
  </r>
  <r>
    <d v="2026-01-01T00:00:00"/>
    <x v="0"/>
    <s v="Afternoon"/>
    <s v="OP_C"/>
    <s v="M301"/>
    <s v="B1008"/>
    <n v="10.0502"/>
  </r>
  <r>
    <d v="2026-01-01T00:00:00"/>
    <x v="2"/>
    <s v="Night"/>
    <s v="OP_C"/>
    <s v="M202"/>
    <s v="B1009"/>
    <n v="10.003"/>
  </r>
  <r>
    <d v="2026-01-01T00:00:00"/>
    <x v="1"/>
    <s v="Afternoon"/>
    <s v="OP_A"/>
    <s v="M202"/>
    <s v="B1010"/>
    <n v="10.0113"/>
  </r>
  <r>
    <d v="2026-01-01T00:00:00"/>
    <x v="0"/>
    <s v="Afternoon"/>
    <s v="OP_D"/>
    <s v="M101"/>
    <s v="B1011"/>
    <n v="9.9987999999999992"/>
  </r>
  <r>
    <d v="2026-01-01T00:00:00"/>
    <x v="0"/>
    <s v="Afternoon"/>
    <s v="OP_A"/>
    <s v="M101"/>
    <s v="B1012"/>
    <n v="9.9960000000000004"/>
  </r>
  <r>
    <d v="2026-01-01T00:00:00"/>
    <x v="2"/>
    <s v="Afternoon"/>
    <s v="OP_D"/>
    <s v="M102"/>
    <s v="B1013"/>
    <n v="9.9984999999999999"/>
  </r>
  <r>
    <d v="2026-01-01T00:00:00"/>
    <x v="0"/>
    <s v="Night"/>
    <s v="OP_B"/>
    <s v="M101"/>
    <s v="B1014"/>
    <n v="10.0114"/>
  </r>
  <r>
    <d v="2026-01-01T00:00:00"/>
    <x v="1"/>
    <s v="Morning"/>
    <s v="OP_A"/>
    <s v="M201"/>
    <s v="B1015"/>
    <n v="10.028499999999999"/>
  </r>
  <r>
    <d v="2026-01-01T00:00:00"/>
    <x v="0"/>
    <s v="Morning"/>
    <s v="OP_C"/>
    <s v="M101"/>
    <s v="B1016"/>
    <n v="9.9788999999999994"/>
  </r>
  <r>
    <d v="2026-01-01T00:00:00"/>
    <x v="1"/>
    <s v="Night"/>
    <s v="OP_C"/>
    <s v="M301"/>
    <s v="B1017"/>
    <n v="10.0548"/>
  </r>
  <r>
    <d v="2026-01-01T00:00:00"/>
    <x v="2"/>
    <s v="Night"/>
    <s v="OP_C"/>
    <s v="M201"/>
    <s v="B1018"/>
    <n v="10.0053"/>
  </r>
  <r>
    <d v="2026-01-01T00:00:00"/>
    <x v="1"/>
    <s v="Morning"/>
    <s v="OP_C"/>
    <s v="M301"/>
    <s v="B1019"/>
    <n v="10.0101"/>
  </r>
  <r>
    <d v="2026-01-01T00:00:00"/>
    <x v="0"/>
    <s v="Morning"/>
    <s v="OP_C"/>
    <s v="M101"/>
    <s v="B1020"/>
    <n v="9.9929000000000006"/>
  </r>
  <r>
    <d v="2026-01-01T00:00:00"/>
    <x v="0"/>
    <s v="Afternoon"/>
    <s v="OP_B"/>
    <s v="M301"/>
    <s v="B1021"/>
    <n v="10.0116"/>
  </r>
  <r>
    <d v="2026-01-01T00:00:00"/>
    <x v="0"/>
    <s v="Night"/>
    <s v="OP_D"/>
    <s v="M201"/>
    <s v="B1022"/>
    <n v="10.0205"/>
  </r>
  <r>
    <d v="2026-01-01T00:00:00"/>
    <x v="2"/>
    <s v="Afternoon"/>
    <s v="OP_B"/>
    <s v="M102"/>
    <s v="B1023"/>
    <n v="9.9921000000000006"/>
  </r>
  <r>
    <d v="2026-01-01T00:00:00"/>
    <x v="1"/>
    <s v="Afternoon"/>
    <s v="OP_C"/>
    <s v="M102"/>
    <s v="B1024"/>
    <n v="9.9983000000000004"/>
  </r>
  <r>
    <d v="2026-01-01T00:00:00"/>
    <x v="1"/>
    <s v="Afternoon"/>
    <s v="OP_B"/>
    <s v="M202"/>
    <s v="B1025"/>
    <n v="10.021000000000001"/>
  </r>
  <r>
    <d v="2026-01-01T00:00:00"/>
    <x v="2"/>
    <s v="Morning"/>
    <s v="OP_D"/>
    <s v="M102"/>
    <s v="B1026"/>
    <n v="9.9909999999999997"/>
  </r>
  <r>
    <d v="2026-01-01T00:00:00"/>
    <x v="2"/>
    <s v="Afternoon"/>
    <s v="OP_A"/>
    <s v="M202"/>
    <s v="B1027"/>
    <n v="9.9878999999999998"/>
  </r>
  <r>
    <d v="2026-01-01T00:00:00"/>
    <x v="0"/>
    <s v="Morning"/>
    <s v="OP_B"/>
    <s v="M202"/>
    <s v="B1028"/>
    <n v="10.0122"/>
  </r>
  <r>
    <d v="2026-01-01T00:00:00"/>
    <x v="2"/>
    <s v="Night"/>
    <s v="OP_D"/>
    <s v="M201"/>
    <s v="B1029"/>
    <n v="10.021000000000001"/>
  </r>
  <r>
    <d v="2026-01-01T00:00:00"/>
    <x v="2"/>
    <s v="Morning"/>
    <s v="OP_D"/>
    <s v="M202"/>
    <s v="B1030"/>
    <n v="9.9992999999999999"/>
  </r>
  <r>
    <d v="2026-01-01T00:00:00"/>
    <x v="0"/>
    <s v="Night"/>
    <s v="OP_B"/>
    <s v="M202"/>
    <s v="B1031"/>
    <n v="10.042"/>
  </r>
  <r>
    <d v="2026-01-01T00:00:00"/>
    <x v="1"/>
    <s v="Night"/>
    <s v="OP_B"/>
    <s v="M301"/>
    <s v="B1032"/>
    <n v="10.057700000000001"/>
  </r>
  <r>
    <d v="2026-01-01T00:00:00"/>
    <x v="0"/>
    <s v="Night"/>
    <s v="OP_B"/>
    <s v="M301"/>
    <s v="B1033"/>
    <n v="9.9969000000000001"/>
  </r>
  <r>
    <d v="2026-01-01T00:00:00"/>
    <x v="2"/>
    <s v="Afternoon"/>
    <s v="OP_A"/>
    <s v="M202"/>
    <s v="B1034"/>
    <n v="9.9954999999999998"/>
  </r>
  <r>
    <d v="2026-01-01T00:00:00"/>
    <x v="0"/>
    <s v="Afternoon"/>
    <s v="OP_A"/>
    <s v="M102"/>
    <s v="B1035"/>
    <n v="10.011799999999999"/>
  </r>
  <r>
    <d v="2026-01-01T00:00:00"/>
    <x v="1"/>
    <s v="Night"/>
    <s v="OP_D"/>
    <s v="M101"/>
    <s v="B1036"/>
    <n v="10.0046"/>
  </r>
  <r>
    <d v="2026-01-01T00:00:00"/>
    <x v="1"/>
    <s v="Morning"/>
    <s v="OP_C"/>
    <s v="M102"/>
    <s v="B1037"/>
    <n v="10.053699999999999"/>
  </r>
  <r>
    <d v="2026-01-01T00:00:00"/>
    <x v="2"/>
    <s v="Afternoon"/>
    <s v="OP_B"/>
    <s v="M202"/>
    <s v="B1038"/>
    <n v="10.010400000000001"/>
  </r>
  <r>
    <d v="2026-01-01T00:00:00"/>
    <x v="1"/>
    <s v="Night"/>
    <s v="OP_D"/>
    <s v="M102"/>
    <s v="B1039"/>
    <n v="10.0601"/>
  </r>
  <r>
    <d v="2026-01-01T00:00:00"/>
    <x v="1"/>
    <s v="Afternoon"/>
    <s v="OP_D"/>
    <s v="M102"/>
    <s v="B1040"/>
    <n v="10.044"/>
  </r>
  <r>
    <d v="2026-01-01T00:00:00"/>
    <x v="1"/>
    <s v="Morning"/>
    <s v="OP_D"/>
    <s v="M201"/>
    <s v="B1041"/>
    <n v="10.0365"/>
  </r>
  <r>
    <d v="2026-01-01T00:00:00"/>
    <x v="1"/>
    <s v="Morning"/>
    <s v="OP_C"/>
    <s v="M202"/>
    <s v="B1042"/>
    <n v="9.9883000000000006"/>
  </r>
  <r>
    <d v="2026-01-01T00:00:00"/>
    <x v="2"/>
    <s v="Night"/>
    <s v="OP_A"/>
    <s v="M201"/>
    <s v="B1043"/>
    <n v="9.9885999999999999"/>
  </r>
  <r>
    <d v="2026-01-01T00:00:00"/>
    <x v="0"/>
    <s v="Morning"/>
    <s v="OP_A"/>
    <s v="M301"/>
    <s v="B1044"/>
    <n v="9.9769000000000005"/>
  </r>
  <r>
    <d v="2026-01-01T00:00:00"/>
    <x v="2"/>
    <s v="Night"/>
    <s v="OP_B"/>
    <s v="M301"/>
    <s v="B1045"/>
    <n v="9.9962"/>
  </r>
  <r>
    <d v="2026-01-01T00:00:00"/>
    <x v="0"/>
    <s v="Morning"/>
    <s v="OP_B"/>
    <s v="M201"/>
    <s v="B1046"/>
    <n v="9.9579000000000004"/>
  </r>
  <r>
    <d v="2026-01-01T00:00:00"/>
    <x v="0"/>
    <s v="Night"/>
    <s v="OP_B"/>
    <s v="M301"/>
    <s v="B1047"/>
    <n v="10.013299999999999"/>
  </r>
  <r>
    <d v="2026-01-01T00:00:00"/>
    <x v="1"/>
    <s v="Night"/>
    <s v="OP_B"/>
    <s v="M101"/>
    <s v="B1048"/>
    <n v="10.059900000000001"/>
  </r>
  <r>
    <d v="2026-01-01T00:00:00"/>
    <x v="0"/>
    <s v="Afternoon"/>
    <s v="OP_B"/>
    <s v="M301"/>
    <s v="B1049"/>
    <n v="9.9984999999999999"/>
  </r>
  <r>
    <d v="2026-01-02T00:00:00"/>
    <x v="0"/>
    <s v="Afternoon"/>
    <s v="OP_C"/>
    <s v="M101"/>
    <s v="B1050"/>
    <n v="10.0136"/>
  </r>
  <r>
    <d v="2026-01-02T00:00:00"/>
    <x v="0"/>
    <s v="Morning"/>
    <s v="OP_C"/>
    <s v="M202"/>
    <s v="B1051"/>
    <n v="9.9901999999999997"/>
  </r>
  <r>
    <d v="2026-01-02T00:00:00"/>
    <x v="2"/>
    <s v="Night"/>
    <s v="OP_B"/>
    <s v="M202"/>
    <s v="B1052"/>
    <n v="10.0029"/>
  </r>
  <r>
    <d v="2026-01-02T00:00:00"/>
    <x v="0"/>
    <s v="Afternoon"/>
    <s v="OP_C"/>
    <s v="M101"/>
    <s v="B1053"/>
    <n v="10.035299999999999"/>
  </r>
  <r>
    <d v="2026-01-02T00:00:00"/>
    <x v="0"/>
    <s v="Morning"/>
    <s v="OP_A"/>
    <s v="M301"/>
    <s v="B1054"/>
    <n v="9.9981000000000009"/>
  </r>
  <r>
    <d v="2026-01-02T00:00:00"/>
    <x v="2"/>
    <s v="Morning"/>
    <s v="OP_B"/>
    <s v="M101"/>
    <s v="B1055"/>
    <n v="10.014900000000001"/>
  </r>
  <r>
    <d v="2026-01-02T00:00:00"/>
    <x v="2"/>
    <s v="Morning"/>
    <s v="OP_B"/>
    <s v="M201"/>
    <s v="B1056"/>
    <n v="9.9832000000000001"/>
  </r>
  <r>
    <d v="2026-01-02T00:00:00"/>
    <x v="1"/>
    <s v="Morning"/>
    <s v="OP_B"/>
    <s v="M101"/>
    <s v="B1057"/>
    <n v="10.0357"/>
  </r>
  <r>
    <d v="2026-01-02T00:00:00"/>
    <x v="1"/>
    <s v="Night"/>
    <s v="OP_A"/>
    <s v="M202"/>
    <s v="B1058"/>
    <n v="10.080299999999999"/>
  </r>
  <r>
    <d v="2026-01-02T00:00:00"/>
    <x v="1"/>
    <s v="Night"/>
    <s v="OP_B"/>
    <s v="M202"/>
    <s v="B1059"/>
    <n v="10.047700000000001"/>
  </r>
  <r>
    <d v="2026-01-02T00:00:00"/>
    <x v="0"/>
    <s v="Afternoon"/>
    <s v="OP_B"/>
    <s v="M102"/>
    <s v="B1060"/>
    <n v="9.9663000000000004"/>
  </r>
  <r>
    <d v="2026-01-02T00:00:00"/>
    <x v="0"/>
    <s v="Night"/>
    <s v="OP_C"/>
    <s v="M201"/>
    <s v="B1061"/>
    <n v="9.9855"/>
  </r>
  <r>
    <d v="2026-01-02T00:00:00"/>
    <x v="0"/>
    <s v="Afternoon"/>
    <s v="OP_A"/>
    <s v="M101"/>
    <s v="B1062"/>
    <n v="10.0006"/>
  </r>
  <r>
    <d v="2026-01-02T00:00:00"/>
    <x v="0"/>
    <s v="Night"/>
    <s v="OP_A"/>
    <s v="M301"/>
    <s v="B1063"/>
    <n v="9.9920000000000009"/>
  </r>
  <r>
    <d v="2026-01-02T00:00:00"/>
    <x v="2"/>
    <s v="Night"/>
    <s v="OP_B"/>
    <s v="M301"/>
    <s v="B1064"/>
    <n v="10.016999999999999"/>
  </r>
  <r>
    <d v="2026-01-02T00:00:00"/>
    <x v="2"/>
    <s v="Morning"/>
    <s v="OP_A"/>
    <s v="M102"/>
    <s v="B1065"/>
    <n v="9.9657"/>
  </r>
  <r>
    <d v="2026-01-02T00:00:00"/>
    <x v="1"/>
    <s v="Afternoon"/>
    <s v="OP_A"/>
    <s v="M301"/>
    <s v="B1066"/>
    <n v="10.0558"/>
  </r>
  <r>
    <d v="2026-01-02T00:00:00"/>
    <x v="1"/>
    <s v="Night"/>
    <s v="OP_C"/>
    <s v="M101"/>
    <s v="B1067"/>
    <n v="9.9938000000000002"/>
  </r>
  <r>
    <d v="2026-01-02T00:00:00"/>
    <x v="2"/>
    <s v="Afternoon"/>
    <s v="OP_B"/>
    <s v="M101"/>
    <s v="B1068"/>
    <n v="9.9726999999999997"/>
  </r>
  <r>
    <d v="2026-01-02T00:00:00"/>
    <x v="0"/>
    <s v="Night"/>
    <s v="OP_B"/>
    <s v="M201"/>
    <s v="B1069"/>
    <n v="10.022399999999999"/>
  </r>
  <r>
    <d v="2026-01-02T00:00:00"/>
    <x v="2"/>
    <s v="Night"/>
    <s v="OP_C"/>
    <s v="M102"/>
    <s v="B1070"/>
    <n v="10.0083"/>
  </r>
  <r>
    <d v="2026-01-02T00:00:00"/>
    <x v="1"/>
    <s v="Night"/>
    <s v="OP_C"/>
    <s v="M201"/>
    <s v="B1071"/>
    <n v="10.0777"/>
  </r>
  <r>
    <d v="2026-01-02T00:00:00"/>
    <x v="0"/>
    <s v="Night"/>
    <s v="OP_D"/>
    <s v="M202"/>
    <s v="B1072"/>
    <n v="10.013500000000001"/>
  </r>
  <r>
    <d v="2026-01-02T00:00:00"/>
    <x v="0"/>
    <s v="Afternoon"/>
    <s v="OP_A"/>
    <s v="M101"/>
    <s v="B1073"/>
    <n v="9.9985999999999997"/>
  </r>
  <r>
    <d v="2026-01-02T00:00:00"/>
    <x v="2"/>
    <s v="Night"/>
    <s v="OP_B"/>
    <s v="M202"/>
    <s v="B1074"/>
    <n v="10.0076"/>
  </r>
  <r>
    <d v="2026-01-02T00:00:00"/>
    <x v="2"/>
    <s v="Night"/>
    <s v="OP_B"/>
    <s v="M201"/>
    <s v="B1075"/>
    <n v="9.9845000000000006"/>
  </r>
  <r>
    <d v="2026-01-02T00:00:00"/>
    <x v="0"/>
    <s v="Night"/>
    <s v="OP_D"/>
    <s v="M101"/>
    <s v="B1076"/>
    <n v="10.004799999999999"/>
  </r>
  <r>
    <d v="2026-01-02T00:00:00"/>
    <x v="2"/>
    <s v="Afternoon"/>
    <s v="OP_B"/>
    <s v="M102"/>
    <s v="B1077"/>
    <n v="10.0351"/>
  </r>
  <r>
    <d v="2026-01-02T00:00:00"/>
    <x v="0"/>
    <s v="Afternoon"/>
    <s v="OP_D"/>
    <s v="M201"/>
    <s v="B1078"/>
    <n v="10.0015"/>
  </r>
  <r>
    <d v="2026-01-02T00:00:00"/>
    <x v="1"/>
    <s v="Night"/>
    <s v="OP_B"/>
    <s v="M101"/>
    <s v="B1079"/>
    <n v="9.9953000000000003"/>
  </r>
  <r>
    <d v="2026-01-02T00:00:00"/>
    <x v="2"/>
    <s v="Afternoon"/>
    <s v="OP_A"/>
    <s v="M202"/>
    <s v="B1080"/>
    <n v="9.9806000000000008"/>
  </r>
  <r>
    <d v="2026-01-02T00:00:00"/>
    <x v="0"/>
    <s v="Afternoon"/>
    <s v="OP_A"/>
    <s v="M102"/>
    <s v="B1081"/>
    <n v="9.9949999999999992"/>
  </r>
  <r>
    <d v="2026-01-02T00:00:00"/>
    <x v="2"/>
    <s v="Night"/>
    <s v="OP_C"/>
    <s v="M101"/>
    <s v="B1082"/>
    <n v="10.0183"/>
  </r>
  <r>
    <d v="2026-01-02T00:00:00"/>
    <x v="1"/>
    <s v="Afternoon"/>
    <s v="OP_C"/>
    <s v="M201"/>
    <s v="B1083"/>
    <n v="9.9628999999999994"/>
  </r>
  <r>
    <d v="2026-01-02T00:00:00"/>
    <x v="0"/>
    <s v="Night"/>
    <s v="OP_C"/>
    <s v="M102"/>
    <s v="B1084"/>
    <n v="10.001300000000001"/>
  </r>
  <r>
    <d v="2026-01-02T00:00:00"/>
    <x v="1"/>
    <s v="Morning"/>
    <s v="OP_D"/>
    <s v="M101"/>
    <s v="B1085"/>
    <n v="10.051"/>
  </r>
  <r>
    <d v="2026-01-02T00:00:00"/>
    <x v="0"/>
    <s v="Afternoon"/>
    <s v="OP_A"/>
    <s v="M301"/>
    <s v="B1086"/>
    <n v="10.018599999999999"/>
  </r>
  <r>
    <d v="2026-01-02T00:00:00"/>
    <x v="2"/>
    <s v="Night"/>
    <s v="OP_C"/>
    <s v="M202"/>
    <s v="B1087"/>
    <n v="9.9802999999999997"/>
  </r>
  <r>
    <d v="2026-01-02T00:00:00"/>
    <x v="0"/>
    <s v="Night"/>
    <s v="OP_A"/>
    <s v="M202"/>
    <s v="B1088"/>
    <n v="10.0388"/>
  </r>
  <r>
    <d v="2026-01-02T00:00:00"/>
    <x v="2"/>
    <s v="Morning"/>
    <s v="OP_C"/>
    <s v="M202"/>
    <s v="B1089"/>
    <n v="9.9972999999999992"/>
  </r>
  <r>
    <d v="2026-01-02T00:00:00"/>
    <x v="1"/>
    <s v="Night"/>
    <s v="OP_B"/>
    <s v="M102"/>
    <s v="B1090"/>
    <n v="10.0162"/>
  </r>
  <r>
    <d v="2026-01-02T00:00:00"/>
    <x v="2"/>
    <s v="Afternoon"/>
    <s v="OP_A"/>
    <s v="M201"/>
    <s v="B1091"/>
    <n v="10.018700000000001"/>
  </r>
  <r>
    <d v="2026-01-02T00:00:00"/>
    <x v="1"/>
    <s v="Afternoon"/>
    <s v="OP_A"/>
    <s v="M201"/>
    <s v="B1092"/>
    <n v="10.02"/>
  </r>
  <r>
    <d v="2026-01-02T00:00:00"/>
    <x v="2"/>
    <s v="Afternoon"/>
    <s v="OP_A"/>
    <s v="M201"/>
    <s v="B1093"/>
    <n v="10.020799999999999"/>
  </r>
  <r>
    <d v="2026-01-02T00:00:00"/>
    <x v="0"/>
    <s v="Morning"/>
    <s v="OP_D"/>
    <s v="M102"/>
    <s v="B1094"/>
    <n v="9.9948999999999995"/>
  </r>
  <r>
    <d v="2026-01-02T00:00:00"/>
    <x v="2"/>
    <s v="Morning"/>
    <s v="OP_C"/>
    <s v="M101"/>
    <s v="B1095"/>
    <n v="9.9868000000000006"/>
  </r>
  <r>
    <d v="2026-01-02T00:00:00"/>
    <x v="2"/>
    <s v="Morning"/>
    <s v="OP_B"/>
    <s v="M102"/>
    <s v="B1096"/>
    <n v="10.016400000000001"/>
  </r>
  <r>
    <d v="2026-01-02T00:00:00"/>
    <x v="0"/>
    <s v="Morning"/>
    <s v="OP_D"/>
    <s v="M202"/>
    <s v="B1097"/>
    <n v="10.0037"/>
  </r>
  <r>
    <d v="2026-01-02T00:00:00"/>
    <x v="2"/>
    <s v="Afternoon"/>
    <s v="OP_A"/>
    <s v="M201"/>
    <s v="B1098"/>
    <n v="9.9658999999999995"/>
  </r>
  <r>
    <d v="2026-01-02T00:00:00"/>
    <x v="1"/>
    <s v="Afternoon"/>
    <s v="OP_C"/>
    <s v="M102"/>
    <s v="B1099"/>
    <n v="10.044700000000001"/>
  </r>
  <r>
    <d v="2026-01-03T00:00:00"/>
    <x v="2"/>
    <s v="Night"/>
    <s v="OP_B"/>
    <s v="M202"/>
    <s v="B1100"/>
    <n v="9.9907000000000004"/>
  </r>
  <r>
    <d v="2026-01-03T00:00:00"/>
    <x v="1"/>
    <s v="Afternoon"/>
    <s v="OP_C"/>
    <s v="M101"/>
    <s v="B1101"/>
    <n v="9.9995999999999992"/>
  </r>
  <r>
    <d v="2026-01-03T00:00:00"/>
    <x v="1"/>
    <s v="Morning"/>
    <s v="OP_C"/>
    <s v="M301"/>
    <s v="B1102"/>
    <n v="9.9751999999999992"/>
  </r>
  <r>
    <d v="2026-01-03T00:00:00"/>
    <x v="2"/>
    <s v="Night"/>
    <s v="OP_C"/>
    <s v="M201"/>
    <s v="B1103"/>
    <n v="10.008100000000001"/>
  </r>
  <r>
    <d v="2026-01-03T00:00:00"/>
    <x v="1"/>
    <s v="Night"/>
    <s v="OP_A"/>
    <s v="M201"/>
    <s v="B1104"/>
    <n v="9.9749999999999996"/>
  </r>
  <r>
    <d v="2026-01-03T00:00:00"/>
    <x v="0"/>
    <s v="Afternoon"/>
    <s v="OP_D"/>
    <s v="M202"/>
    <s v="B1105"/>
    <n v="10.0337"/>
  </r>
  <r>
    <d v="2026-01-03T00:00:00"/>
    <x v="1"/>
    <s v="Afternoon"/>
    <s v="OP_D"/>
    <s v="M101"/>
    <s v="B1106"/>
    <n v="10.0045"/>
  </r>
  <r>
    <d v="2026-01-03T00:00:00"/>
    <x v="2"/>
    <s v="Afternoon"/>
    <s v="OP_B"/>
    <s v="M202"/>
    <s v="B1107"/>
    <n v="10.0061"/>
  </r>
  <r>
    <d v="2026-01-03T00:00:00"/>
    <x v="1"/>
    <s v="Afternoon"/>
    <s v="OP_A"/>
    <s v="M301"/>
    <s v="B1108"/>
    <n v="10.0101"/>
  </r>
  <r>
    <d v="2026-01-03T00:00:00"/>
    <x v="0"/>
    <s v="Afternoon"/>
    <s v="OP_D"/>
    <s v="M301"/>
    <s v="B1109"/>
    <n v="9.9725000000000001"/>
  </r>
  <r>
    <d v="2026-01-03T00:00:00"/>
    <x v="2"/>
    <s v="Afternoon"/>
    <s v="OP_D"/>
    <s v="M202"/>
    <s v="B1110"/>
    <n v="9.9582999999999995"/>
  </r>
  <r>
    <d v="2026-01-03T00:00:00"/>
    <x v="0"/>
    <s v="Morning"/>
    <s v="OP_C"/>
    <s v="M101"/>
    <s v="B1111"/>
    <n v="9.9894999999999996"/>
  </r>
  <r>
    <d v="2026-01-03T00:00:00"/>
    <x v="2"/>
    <s v="Night"/>
    <s v="OP_C"/>
    <s v="M202"/>
    <s v="B1112"/>
    <n v="9.9854000000000003"/>
  </r>
  <r>
    <d v="2026-01-03T00:00:00"/>
    <x v="0"/>
    <s v="Morning"/>
    <s v="OP_D"/>
    <s v="M202"/>
    <s v="B1113"/>
    <n v="10.027100000000001"/>
  </r>
  <r>
    <d v="2026-01-03T00:00:00"/>
    <x v="1"/>
    <s v="Night"/>
    <s v="OP_B"/>
    <s v="M301"/>
    <s v="B1114"/>
    <n v="9.9679000000000002"/>
  </r>
  <r>
    <d v="2026-01-03T00:00:00"/>
    <x v="2"/>
    <s v="Night"/>
    <s v="OP_B"/>
    <s v="M301"/>
    <s v="B1115"/>
    <n v="9.9995999999999992"/>
  </r>
  <r>
    <d v="2026-01-03T00:00:00"/>
    <x v="1"/>
    <s v="Morning"/>
    <s v="OP_B"/>
    <s v="M102"/>
    <s v="B1116"/>
    <n v="10.0449"/>
  </r>
  <r>
    <d v="2026-01-03T00:00:00"/>
    <x v="2"/>
    <s v="Night"/>
    <s v="OP_B"/>
    <s v="M301"/>
    <s v="B1117"/>
    <n v="10.0002"/>
  </r>
  <r>
    <d v="2026-01-03T00:00:00"/>
    <x v="2"/>
    <s v="Night"/>
    <s v="OP_C"/>
    <s v="M201"/>
    <s v="B1118"/>
    <n v="10.016299999999999"/>
  </r>
  <r>
    <d v="2026-01-03T00:00:00"/>
    <x v="1"/>
    <s v="Night"/>
    <s v="OP_D"/>
    <s v="M101"/>
    <s v="B1119"/>
    <n v="10.0139"/>
  </r>
  <r>
    <d v="2026-01-03T00:00:00"/>
    <x v="0"/>
    <s v="Night"/>
    <s v="OP_D"/>
    <s v="M202"/>
    <s v="B1120"/>
    <n v="10.0097"/>
  </r>
  <r>
    <d v="2026-01-03T00:00:00"/>
    <x v="2"/>
    <s v="Morning"/>
    <s v="OP_C"/>
    <s v="M101"/>
    <s v="B1121"/>
    <n v="10.011799999999999"/>
  </r>
  <r>
    <d v="2026-01-03T00:00:00"/>
    <x v="1"/>
    <s v="Morning"/>
    <s v="OP_C"/>
    <s v="M102"/>
    <s v="B1122"/>
    <n v="10.021699999999999"/>
  </r>
  <r>
    <d v="2026-01-03T00:00:00"/>
    <x v="1"/>
    <s v="Night"/>
    <s v="OP_B"/>
    <s v="M202"/>
    <s v="B1123"/>
    <n v="10.0169"/>
  </r>
  <r>
    <d v="2026-01-03T00:00:00"/>
    <x v="1"/>
    <s v="Night"/>
    <s v="OP_B"/>
    <s v="M301"/>
    <s v="B1124"/>
    <n v="9.9963999999999995"/>
  </r>
  <r>
    <d v="2026-01-03T00:00:00"/>
    <x v="2"/>
    <s v="Morning"/>
    <s v="OP_B"/>
    <s v="M101"/>
    <s v="B1125"/>
    <n v="10.0022"/>
  </r>
  <r>
    <d v="2026-01-03T00:00:00"/>
    <x v="1"/>
    <s v="Morning"/>
    <s v="OP_D"/>
    <s v="M202"/>
    <s v="B1126"/>
    <n v="10.0322"/>
  </r>
  <r>
    <d v="2026-01-03T00:00:00"/>
    <x v="2"/>
    <s v="Night"/>
    <s v="OP_D"/>
    <s v="M301"/>
    <s v="B1127"/>
    <n v="10.035299999999999"/>
  </r>
  <r>
    <d v="2026-01-03T00:00:00"/>
    <x v="2"/>
    <s v="Morning"/>
    <s v="OP_A"/>
    <s v="M102"/>
    <s v="B1128"/>
    <n v="9.9839000000000002"/>
  </r>
  <r>
    <d v="2026-01-03T00:00:00"/>
    <x v="0"/>
    <s v="Afternoon"/>
    <s v="OP_D"/>
    <s v="M101"/>
    <s v="B1129"/>
    <n v="9.9876000000000005"/>
  </r>
  <r>
    <d v="2026-01-03T00:00:00"/>
    <x v="1"/>
    <s v="Night"/>
    <s v="OP_A"/>
    <s v="M201"/>
    <s v="B1130"/>
    <n v="10.024900000000001"/>
  </r>
  <r>
    <d v="2026-01-03T00:00:00"/>
    <x v="1"/>
    <s v="Afternoon"/>
    <s v="OP_B"/>
    <s v="M101"/>
    <s v="B1131"/>
    <n v="9.9783000000000008"/>
  </r>
  <r>
    <d v="2026-01-03T00:00:00"/>
    <x v="1"/>
    <s v="Morning"/>
    <s v="OP_A"/>
    <s v="M102"/>
    <s v="B1132"/>
    <n v="10.0115"/>
  </r>
  <r>
    <d v="2026-01-03T00:00:00"/>
    <x v="2"/>
    <s v="Afternoon"/>
    <s v="OP_D"/>
    <s v="M301"/>
    <s v="B1133"/>
    <n v="9.9605999999999995"/>
  </r>
  <r>
    <d v="2026-01-03T00:00:00"/>
    <x v="2"/>
    <s v="Afternoon"/>
    <s v="OP_A"/>
    <s v="M101"/>
    <s v="B1134"/>
    <n v="9.9724000000000004"/>
  </r>
  <r>
    <d v="2026-01-03T00:00:00"/>
    <x v="2"/>
    <s v="Morning"/>
    <s v="OP_C"/>
    <s v="M201"/>
    <s v="B1135"/>
    <n v="9.9832000000000001"/>
  </r>
  <r>
    <d v="2026-01-03T00:00:00"/>
    <x v="0"/>
    <s v="Night"/>
    <s v="OP_A"/>
    <s v="M202"/>
    <s v="B1136"/>
    <n v="9.9906000000000006"/>
  </r>
  <r>
    <d v="2026-01-03T00:00:00"/>
    <x v="2"/>
    <s v="Afternoon"/>
    <s v="OP_D"/>
    <s v="M101"/>
    <s v="B1137"/>
    <n v="9.9997000000000007"/>
  </r>
  <r>
    <d v="2026-01-03T00:00:00"/>
    <x v="1"/>
    <s v="Afternoon"/>
    <s v="OP_C"/>
    <s v="M102"/>
    <s v="B1138"/>
    <n v="10.032500000000001"/>
  </r>
  <r>
    <d v="2026-01-03T00:00:00"/>
    <x v="2"/>
    <s v="Night"/>
    <s v="OP_D"/>
    <s v="M202"/>
    <s v="B1139"/>
    <n v="9.9960000000000004"/>
  </r>
  <r>
    <d v="2026-01-03T00:00:00"/>
    <x v="0"/>
    <s v="Morning"/>
    <s v="OP_C"/>
    <s v="M202"/>
    <s v="B1140"/>
    <n v="9.9865999999999993"/>
  </r>
  <r>
    <d v="2026-01-03T00:00:00"/>
    <x v="0"/>
    <s v="Night"/>
    <s v="OP_C"/>
    <s v="M101"/>
    <s v="B1141"/>
    <n v="9.9723000000000006"/>
  </r>
  <r>
    <d v="2026-01-03T00:00:00"/>
    <x v="1"/>
    <s v="Night"/>
    <s v="OP_D"/>
    <s v="M201"/>
    <s v="B1142"/>
    <n v="9.9984999999999999"/>
  </r>
  <r>
    <d v="2026-01-03T00:00:00"/>
    <x v="1"/>
    <s v="Night"/>
    <s v="OP_A"/>
    <s v="M301"/>
    <s v="B1143"/>
    <n v="10.006500000000001"/>
  </r>
  <r>
    <d v="2026-01-03T00:00:00"/>
    <x v="0"/>
    <s v="Night"/>
    <s v="OP_B"/>
    <s v="M101"/>
    <s v="B1144"/>
    <n v="10.0129"/>
  </r>
  <r>
    <d v="2026-01-03T00:00:00"/>
    <x v="0"/>
    <s v="Afternoon"/>
    <s v="OP_A"/>
    <s v="M201"/>
    <s v="B1145"/>
    <n v="10.0036"/>
  </r>
  <r>
    <d v="2026-01-03T00:00:00"/>
    <x v="1"/>
    <s v="Night"/>
    <s v="OP_B"/>
    <s v="M101"/>
    <s v="B1146"/>
    <n v="10.0197"/>
  </r>
  <r>
    <d v="2026-01-03T00:00:00"/>
    <x v="0"/>
    <s v="Morning"/>
    <s v="OP_C"/>
    <s v="M301"/>
    <s v="B1147"/>
    <n v="9.9893999999999998"/>
  </r>
  <r>
    <d v="2026-01-03T00:00:00"/>
    <x v="0"/>
    <s v="Afternoon"/>
    <s v="OP_D"/>
    <s v="M301"/>
    <s v="B1148"/>
    <n v="10.036300000000001"/>
  </r>
  <r>
    <d v="2026-01-03T00:00:00"/>
    <x v="1"/>
    <s v="Night"/>
    <s v="OP_C"/>
    <s v="M202"/>
    <s v="B1149"/>
    <n v="10.0098"/>
  </r>
  <r>
    <d v="2026-01-04T00:00:00"/>
    <x v="2"/>
    <s v="Night"/>
    <s v="OP_C"/>
    <s v="M202"/>
    <s v="B1150"/>
    <n v="10.003"/>
  </r>
  <r>
    <d v="2026-01-04T00:00:00"/>
    <x v="2"/>
    <s v="Night"/>
    <s v="OP_A"/>
    <s v="M201"/>
    <s v="B1151"/>
    <n v="9.9940999999999995"/>
  </r>
  <r>
    <d v="2026-01-04T00:00:00"/>
    <x v="0"/>
    <s v="Morning"/>
    <s v="OP_C"/>
    <s v="M301"/>
    <s v="B1152"/>
    <n v="10.016299999999999"/>
  </r>
  <r>
    <d v="2026-01-04T00:00:00"/>
    <x v="0"/>
    <s v="Morning"/>
    <s v="OP_C"/>
    <s v="M201"/>
    <s v="B1153"/>
    <n v="10.021800000000001"/>
  </r>
  <r>
    <d v="2026-01-04T00:00:00"/>
    <x v="1"/>
    <s v="Morning"/>
    <s v="OP_A"/>
    <s v="M201"/>
    <s v="B1154"/>
    <n v="9.9785000000000004"/>
  </r>
  <r>
    <d v="2026-01-04T00:00:00"/>
    <x v="2"/>
    <s v="Night"/>
    <s v="OP_D"/>
    <s v="M101"/>
    <s v="B1155"/>
    <n v="9.9894999999999996"/>
  </r>
  <r>
    <d v="2026-01-04T00:00:00"/>
    <x v="1"/>
    <s v="Morning"/>
    <s v="OP_B"/>
    <s v="M201"/>
    <s v="B1156"/>
    <n v="9.9829000000000008"/>
  </r>
  <r>
    <d v="2026-01-04T00:00:00"/>
    <x v="0"/>
    <s v="Morning"/>
    <s v="OP_C"/>
    <s v="M301"/>
    <s v="B1157"/>
    <n v="9.9740000000000002"/>
  </r>
  <r>
    <d v="2026-01-04T00:00:00"/>
    <x v="0"/>
    <s v="Morning"/>
    <s v="OP_B"/>
    <s v="M102"/>
    <s v="B1158"/>
    <n v="9.9969000000000001"/>
  </r>
  <r>
    <d v="2026-01-04T00:00:00"/>
    <x v="1"/>
    <s v="Morning"/>
    <s v="OP_A"/>
    <s v="M101"/>
    <s v="B1159"/>
    <n v="9.9937000000000005"/>
  </r>
  <r>
    <d v="2026-01-04T00:00:00"/>
    <x v="1"/>
    <s v="Afternoon"/>
    <s v="OP_B"/>
    <s v="M201"/>
    <s v="B1160"/>
    <n v="10.0267"/>
  </r>
  <r>
    <d v="2026-01-04T00:00:00"/>
    <x v="2"/>
    <s v="Afternoon"/>
    <s v="OP_B"/>
    <s v="M101"/>
    <s v="B1161"/>
    <n v="10.0106"/>
  </r>
  <r>
    <d v="2026-01-04T00:00:00"/>
    <x v="2"/>
    <s v="Night"/>
    <s v="OP_D"/>
    <s v="M101"/>
    <s v="B1162"/>
    <n v="10.022500000000001"/>
  </r>
  <r>
    <d v="2026-01-04T00:00:00"/>
    <x v="1"/>
    <s v="Night"/>
    <s v="OP_C"/>
    <s v="M301"/>
    <s v="B1163"/>
    <n v="9.9555000000000007"/>
  </r>
  <r>
    <d v="2026-01-04T00:00:00"/>
    <x v="1"/>
    <s v="Morning"/>
    <s v="OP_C"/>
    <s v="M202"/>
    <s v="B1164"/>
    <n v="10.019299999999999"/>
  </r>
  <r>
    <d v="2026-01-04T00:00:00"/>
    <x v="0"/>
    <s v="Morning"/>
    <s v="OP_D"/>
    <s v="M102"/>
    <s v="B1165"/>
    <n v="9.9824999999999999"/>
  </r>
  <r>
    <d v="2026-01-04T00:00:00"/>
    <x v="2"/>
    <s v="Morning"/>
    <s v="OP_D"/>
    <s v="M202"/>
    <s v="B1166"/>
    <n v="9.9528999999999996"/>
  </r>
  <r>
    <d v="2026-01-04T00:00:00"/>
    <x v="2"/>
    <s v="Night"/>
    <s v="OP_B"/>
    <s v="M102"/>
    <s v="B1167"/>
    <n v="10.0228"/>
  </r>
  <r>
    <d v="2026-01-04T00:00:00"/>
    <x v="2"/>
    <s v="Night"/>
    <s v="OP_C"/>
    <s v="M201"/>
    <s v="B1168"/>
    <n v="9.9695999999999998"/>
  </r>
  <r>
    <d v="2026-01-04T00:00:00"/>
    <x v="2"/>
    <s v="Afternoon"/>
    <s v="OP_C"/>
    <s v="M201"/>
    <s v="B1169"/>
    <n v="9.9949999999999992"/>
  </r>
  <r>
    <d v="2026-01-04T00:00:00"/>
    <x v="2"/>
    <s v="Night"/>
    <s v="OP_B"/>
    <s v="M102"/>
    <s v="B1170"/>
    <n v="10.020099999999999"/>
  </r>
  <r>
    <d v="2026-01-04T00:00:00"/>
    <x v="1"/>
    <s v="Morning"/>
    <s v="OP_D"/>
    <s v="M301"/>
    <s v="B1171"/>
    <n v="10.004300000000001"/>
  </r>
  <r>
    <d v="2026-01-04T00:00:00"/>
    <x v="0"/>
    <s v="Afternoon"/>
    <s v="OP_A"/>
    <s v="M301"/>
    <s v="B1172"/>
    <n v="9.9671000000000003"/>
  </r>
  <r>
    <d v="2026-01-04T00:00:00"/>
    <x v="1"/>
    <s v="Afternoon"/>
    <s v="OP_C"/>
    <s v="M102"/>
    <s v="B1173"/>
    <n v="10.039400000000001"/>
  </r>
  <r>
    <d v="2026-01-04T00:00:00"/>
    <x v="1"/>
    <s v="Morning"/>
    <s v="OP_D"/>
    <s v="M202"/>
    <s v="B1174"/>
    <n v="10.0345"/>
  </r>
  <r>
    <d v="2026-01-04T00:00:00"/>
    <x v="0"/>
    <s v="Afternoon"/>
    <s v="OP_C"/>
    <s v="M301"/>
    <s v="B1175"/>
    <n v="9.9741"/>
  </r>
  <r>
    <d v="2026-01-04T00:00:00"/>
    <x v="0"/>
    <s v="Night"/>
    <s v="OP_A"/>
    <s v="M201"/>
    <s v="B1176"/>
    <n v="9.9941999999999993"/>
  </r>
  <r>
    <d v="2026-01-04T00:00:00"/>
    <x v="1"/>
    <s v="Afternoon"/>
    <s v="OP_C"/>
    <s v="M301"/>
    <s v="B1177"/>
    <n v="10.0435"/>
  </r>
  <r>
    <d v="2026-01-04T00:00:00"/>
    <x v="2"/>
    <s v="Morning"/>
    <s v="OP_B"/>
    <s v="M202"/>
    <s v="B1178"/>
    <n v="9.9795999999999996"/>
  </r>
  <r>
    <d v="2026-01-04T00:00:00"/>
    <x v="2"/>
    <s v="Afternoon"/>
    <s v="OP_B"/>
    <s v="M301"/>
    <s v="B1179"/>
    <n v="10.011200000000001"/>
  </r>
  <r>
    <d v="2026-01-04T00:00:00"/>
    <x v="1"/>
    <s v="Afternoon"/>
    <s v="OP_D"/>
    <s v="M301"/>
    <s v="B1180"/>
    <n v="10.031700000000001"/>
  </r>
  <r>
    <d v="2026-01-04T00:00:00"/>
    <x v="0"/>
    <s v="Night"/>
    <s v="OP_D"/>
    <s v="M202"/>
    <s v="B1181"/>
    <n v="10.0396"/>
  </r>
  <r>
    <d v="2026-01-04T00:00:00"/>
    <x v="2"/>
    <s v="Night"/>
    <s v="OP_D"/>
    <s v="M102"/>
    <s v="B1182"/>
    <n v="10.0223"/>
  </r>
  <r>
    <d v="2026-01-04T00:00:00"/>
    <x v="0"/>
    <s v="Night"/>
    <s v="OP_A"/>
    <s v="M301"/>
    <s v="B1183"/>
    <n v="9.9829000000000008"/>
  </r>
  <r>
    <d v="2026-01-04T00:00:00"/>
    <x v="1"/>
    <s v="Afternoon"/>
    <s v="OP_C"/>
    <s v="M101"/>
    <s v="B1184"/>
    <n v="10.016999999999999"/>
  </r>
  <r>
    <d v="2026-01-04T00:00:00"/>
    <x v="2"/>
    <s v="Morning"/>
    <s v="OP_A"/>
    <s v="M102"/>
    <s v="B1185"/>
    <n v="10.004300000000001"/>
  </r>
  <r>
    <d v="2026-01-04T00:00:00"/>
    <x v="1"/>
    <s v="Afternoon"/>
    <s v="OP_B"/>
    <s v="M102"/>
    <s v="B1186"/>
    <n v="10.0929"/>
  </r>
  <r>
    <d v="2026-01-04T00:00:00"/>
    <x v="0"/>
    <s v="Morning"/>
    <s v="OP_C"/>
    <s v="M201"/>
    <s v="B1187"/>
    <n v="9.9725999999999999"/>
  </r>
  <r>
    <d v="2026-01-04T00:00:00"/>
    <x v="0"/>
    <s v="Morning"/>
    <s v="OP_D"/>
    <s v="M301"/>
    <s v="B1188"/>
    <n v="10.036099999999999"/>
  </r>
  <r>
    <d v="2026-01-04T00:00:00"/>
    <x v="1"/>
    <s v="Morning"/>
    <s v="OP_D"/>
    <s v="M102"/>
    <s v="B1189"/>
    <n v="9.9989000000000008"/>
  </r>
  <r>
    <d v="2026-01-04T00:00:00"/>
    <x v="0"/>
    <s v="Afternoon"/>
    <s v="OP_C"/>
    <s v="M201"/>
    <s v="B1190"/>
    <n v="9.9890000000000008"/>
  </r>
  <r>
    <d v="2026-01-04T00:00:00"/>
    <x v="0"/>
    <s v="Night"/>
    <s v="OP_C"/>
    <s v="M102"/>
    <s v="B1191"/>
    <n v="9.9878"/>
  </r>
  <r>
    <d v="2026-01-04T00:00:00"/>
    <x v="0"/>
    <s v="Morning"/>
    <s v="OP_D"/>
    <s v="M301"/>
    <s v="B1192"/>
    <n v="9.9981000000000009"/>
  </r>
  <r>
    <d v="2026-01-04T00:00:00"/>
    <x v="1"/>
    <s v="Afternoon"/>
    <s v="OP_B"/>
    <s v="M201"/>
    <s v="B1193"/>
    <n v="10.000299999999999"/>
  </r>
  <r>
    <d v="2026-01-04T00:00:00"/>
    <x v="0"/>
    <s v="Morning"/>
    <s v="OP_A"/>
    <s v="M201"/>
    <s v="B1194"/>
    <n v="9.9811999999999994"/>
  </r>
  <r>
    <d v="2026-01-04T00:00:00"/>
    <x v="1"/>
    <s v="Afternoon"/>
    <s v="OP_A"/>
    <s v="M101"/>
    <s v="B1195"/>
    <n v="10.049799999999999"/>
  </r>
  <r>
    <d v="2026-01-04T00:00:00"/>
    <x v="2"/>
    <s v="Afternoon"/>
    <s v="OP_D"/>
    <s v="M202"/>
    <s v="B1196"/>
    <n v="9.9779999999999998"/>
  </r>
  <r>
    <d v="2026-01-04T00:00:00"/>
    <x v="0"/>
    <s v="Afternoon"/>
    <s v="OP_D"/>
    <s v="M301"/>
    <s v="B1197"/>
    <n v="9.9709000000000003"/>
  </r>
  <r>
    <d v="2026-01-04T00:00:00"/>
    <x v="2"/>
    <s v="Morning"/>
    <s v="OP_B"/>
    <s v="M201"/>
    <s v="B1198"/>
    <n v="9.9550999999999998"/>
  </r>
  <r>
    <d v="2026-01-04T00:00:00"/>
    <x v="2"/>
    <s v="Afternoon"/>
    <s v="OP_A"/>
    <s v="M202"/>
    <s v="B1199"/>
    <n v="10.0097"/>
  </r>
  <r>
    <d v="2026-01-05T00:00:00"/>
    <x v="1"/>
    <s v="Night"/>
    <s v="OP_A"/>
    <s v="M101"/>
    <s v="B1200"/>
    <n v="10.008699999999999"/>
  </r>
  <r>
    <d v="2026-01-05T00:00:00"/>
    <x v="2"/>
    <s v="Morning"/>
    <s v="OP_A"/>
    <s v="M202"/>
    <s v="B1201"/>
    <n v="9.9802999999999997"/>
  </r>
  <r>
    <d v="2026-01-05T00:00:00"/>
    <x v="2"/>
    <s v="Afternoon"/>
    <s v="OP_D"/>
    <s v="M201"/>
    <s v="B1202"/>
    <n v="10.0061"/>
  </r>
  <r>
    <d v="2026-01-05T00:00:00"/>
    <x v="1"/>
    <s v="Morning"/>
    <s v="OP_B"/>
    <s v="M102"/>
    <s v="B1203"/>
    <n v="10.005000000000001"/>
  </r>
  <r>
    <d v="2026-01-05T00:00:00"/>
    <x v="2"/>
    <s v="Afternoon"/>
    <s v="OP_B"/>
    <s v="M101"/>
    <s v="B1204"/>
    <n v="10.0078"/>
  </r>
  <r>
    <d v="2026-01-05T00:00:00"/>
    <x v="2"/>
    <s v="Morning"/>
    <s v="OP_B"/>
    <s v="M201"/>
    <s v="B1205"/>
    <n v="10.0144"/>
  </r>
  <r>
    <d v="2026-01-05T00:00:00"/>
    <x v="1"/>
    <s v="Afternoon"/>
    <s v="OP_B"/>
    <s v="M102"/>
    <s v="B1206"/>
    <n v="10.014699999999999"/>
  </r>
  <r>
    <d v="2026-01-05T00:00:00"/>
    <x v="2"/>
    <s v="Morning"/>
    <s v="OP_C"/>
    <s v="M101"/>
    <s v="B1207"/>
    <n v="10.011900000000001"/>
  </r>
  <r>
    <d v="2026-01-05T00:00:00"/>
    <x v="1"/>
    <s v="Morning"/>
    <s v="OP_C"/>
    <s v="M202"/>
    <s v="B1208"/>
    <n v="9.9890000000000008"/>
  </r>
  <r>
    <d v="2026-01-05T00:00:00"/>
    <x v="0"/>
    <s v="Morning"/>
    <s v="OP_D"/>
    <s v="M201"/>
    <s v="B1209"/>
    <n v="10.0273"/>
  </r>
  <r>
    <d v="2026-01-05T00:00:00"/>
    <x v="2"/>
    <s v="Night"/>
    <s v="OP_C"/>
    <s v="M102"/>
    <s v="B1210"/>
    <n v="9.9916999999999998"/>
  </r>
  <r>
    <d v="2026-01-05T00:00:00"/>
    <x v="1"/>
    <s v="Morning"/>
    <s v="OP_D"/>
    <s v="M202"/>
    <s v="B1211"/>
    <n v="10.054399999999999"/>
  </r>
  <r>
    <d v="2026-01-05T00:00:00"/>
    <x v="0"/>
    <s v="Afternoon"/>
    <s v="OP_C"/>
    <s v="M102"/>
    <s v="B1212"/>
    <n v="9.9877000000000002"/>
  </r>
  <r>
    <d v="2026-01-05T00:00:00"/>
    <x v="2"/>
    <s v="Night"/>
    <s v="OP_A"/>
    <s v="M202"/>
    <s v="B1213"/>
    <n v="9.9899000000000004"/>
  </r>
  <r>
    <d v="2026-01-05T00:00:00"/>
    <x v="0"/>
    <s v="Night"/>
    <s v="OP_A"/>
    <s v="M101"/>
    <s v="B1214"/>
    <n v="9.9636999999999993"/>
  </r>
  <r>
    <d v="2026-01-05T00:00:00"/>
    <x v="1"/>
    <s v="Afternoon"/>
    <s v="OP_A"/>
    <s v="M201"/>
    <s v="B1215"/>
    <n v="10.0038"/>
  </r>
  <r>
    <d v="2026-01-05T00:00:00"/>
    <x v="0"/>
    <s v="Morning"/>
    <s v="OP_A"/>
    <s v="M102"/>
    <s v="B1216"/>
    <n v="9.9742999999999995"/>
  </r>
  <r>
    <d v="2026-01-05T00:00:00"/>
    <x v="0"/>
    <s v="Afternoon"/>
    <s v="OP_C"/>
    <s v="M301"/>
    <s v="B1217"/>
    <n v="10.034599999999999"/>
  </r>
  <r>
    <d v="2026-01-05T00:00:00"/>
    <x v="1"/>
    <s v="Morning"/>
    <s v="OP_B"/>
    <s v="M102"/>
    <s v="B1218"/>
    <n v="9.9890000000000008"/>
  </r>
  <r>
    <d v="2026-01-05T00:00:00"/>
    <x v="0"/>
    <s v="Night"/>
    <s v="OP_A"/>
    <s v="M102"/>
    <s v="B1219"/>
    <n v="9.9989000000000008"/>
  </r>
  <r>
    <d v="2026-01-05T00:00:00"/>
    <x v="0"/>
    <s v="Night"/>
    <s v="OP_C"/>
    <s v="M102"/>
    <s v="B1220"/>
    <n v="9.9895999999999994"/>
  </r>
  <r>
    <d v="2026-01-05T00:00:00"/>
    <x v="0"/>
    <s v="Night"/>
    <s v="OP_B"/>
    <s v="M201"/>
    <s v="B1221"/>
    <n v="10.016999999999999"/>
  </r>
  <r>
    <d v="2026-01-05T00:00:00"/>
    <x v="0"/>
    <s v="Afternoon"/>
    <s v="OP_C"/>
    <s v="M202"/>
    <s v="B1222"/>
    <n v="10.000400000000001"/>
  </r>
  <r>
    <d v="2026-01-05T00:00:00"/>
    <x v="2"/>
    <s v="Afternoon"/>
    <s v="OP_B"/>
    <s v="M101"/>
    <s v="B1223"/>
    <n v="9.9623000000000008"/>
  </r>
  <r>
    <d v="2026-01-05T00:00:00"/>
    <x v="2"/>
    <s v="Afternoon"/>
    <s v="OP_D"/>
    <s v="M201"/>
    <s v="B1224"/>
    <n v="10.009399999999999"/>
  </r>
  <r>
    <d v="2026-01-05T00:00:00"/>
    <x v="1"/>
    <s v="Morning"/>
    <s v="OP_D"/>
    <s v="M102"/>
    <s v="B1225"/>
    <n v="9.9982000000000006"/>
  </r>
  <r>
    <d v="2026-01-05T00:00:00"/>
    <x v="2"/>
    <s v="Morning"/>
    <s v="OP_D"/>
    <s v="M101"/>
    <s v="B1226"/>
    <n v="9.9880999999999993"/>
  </r>
  <r>
    <d v="2026-01-05T00:00:00"/>
    <x v="2"/>
    <s v="Night"/>
    <s v="OP_D"/>
    <s v="M101"/>
    <s v="B1227"/>
    <n v="10.026899999999999"/>
  </r>
  <r>
    <d v="2026-01-05T00:00:00"/>
    <x v="0"/>
    <s v="Afternoon"/>
    <s v="OP_C"/>
    <s v="M202"/>
    <s v="B1228"/>
    <n v="9.9863999999999997"/>
  </r>
  <r>
    <d v="2026-01-05T00:00:00"/>
    <x v="1"/>
    <s v="Morning"/>
    <s v="OP_A"/>
    <s v="M301"/>
    <s v="B1229"/>
    <n v="10.021800000000001"/>
  </r>
  <r>
    <d v="2026-01-05T00:00:00"/>
    <x v="0"/>
    <s v="Afternoon"/>
    <s v="OP_C"/>
    <s v="M202"/>
    <s v="B1230"/>
    <n v="10.005699999999999"/>
  </r>
  <r>
    <d v="2026-01-05T00:00:00"/>
    <x v="2"/>
    <s v="Afternoon"/>
    <s v="OP_C"/>
    <s v="M102"/>
    <s v="B1231"/>
    <n v="9.99"/>
  </r>
  <r>
    <d v="2026-01-05T00:00:00"/>
    <x v="0"/>
    <s v="Night"/>
    <s v="OP_D"/>
    <s v="M202"/>
    <s v="B1232"/>
    <n v="9.9999000000000002"/>
  </r>
  <r>
    <d v="2026-01-05T00:00:00"/>
    <x v="1"/>
    <s v="Morning"/>
    <s v="OP_A"/>
    <s v="M201"/>
    <s v="B1233"/>
    <n v="10.016299999999999"/>
  </r>
  <r>
    <d v="2026-01-05T00:00:00"/>
    <x v="0"/>
    <s v="Morning"/>
    <s v="OP_D"/>
    <s v="M101"/>
    <s v="B1234"/>
    <n v="9.9964999999999993"/>
  </r>
  <r>
    <d v="2026-01-05T00:00:00"/>
    <x v="2"/>
    <s v="Night"/>
    <s v="OP_A"/>
    <s v="M201"/>
    <s v="B1235"/>
    <n v="9.9895999999999994"/>
  </r>
  <r>
    <d v="2026-01-05T00:00:00"/>
    <x v="1"/>
    <s v="Night"/>
    <s v="OP_A"/>
    <s v="M201"/>
    <s v="B1236"/>
    <n v="9.9850999999999992"/>
  </r>
  <r>
    <d v="2026-01-05T00:00:00"/>
    <x v="1"/>
    <s v="Night"/>
    <s v="OP_B"/>
    <s v="M102"/>
    <s v="B1237"/>
    <n v="9.9983000000000004"/>
  </r>
  <r>
    <d v="2026-01-05T00:00:00"/>
    <x v="1"/>
    <s v="Night"/>
    <s v="OP_B"/>
    <s v="M101"/>
    <s v="B1238"/>
    <n v="10.049300000000001"/>
  </r>
  <r>
    <d v="2026-01-05T00:00:00"/>
    <x v="1"/>
    <s v="Afternoon"/>
    <s v="OP_B"/>
    <s v="M201"/>
    <s v="B1239"/>
    <n v="10.0403"/>
  </r>
  <r>
    <d v="2026-01-05T00:00:00"/>
    <x v="1"/>
    <s v="Night"/>
    <s v="OP_B"/>
    <s v="M202"/>
    <s v="B1240"/>
    <n v="10.02"/>
  </r>
  <r>
    <d v="2026-01-05T00:00:00"/>
    <x v="1"/>
    <s v="Morning"/>
    <s v="OP_D"/>
    <s v="M301"/>
    <s v="B1241"/>
    <n v="10.015599999999999"/>
  </r>
  <r>
    <d v="2026-01-05T00:00:00"/>
    <x v="1"/>
    <s v="Night"/>
    <s v="OP_D"/>
    <s v="M202"/>
    <s v="B1242"/>
    <n v="10.048400000000001"/>
  </r>
  <r>
    <d v="2026-01-05T00:00:00"/>
    <x v="1"/>
    <s v="Night"/>
    <s v="OP_C"/>
    <s v="M301"/>
    <s v="B1243"/>
    <n v="10.0305"/>
  </r>
  <r>
    <d v="2026-01-05T00:00:00"/>
    <x v="1"/>
    <s v="Morning"/>
    <s v="OP_A"/>
    <s v="M201"/>
    <s v="B1244"/>
    <n v="10.0282"/>
  </r>
  <r>
    <d v="2026-01-05T00:00:00"/>
    <x v="1"/>
    <s v="Afternoon"/>
    <s v="OP_B"/>
    <s v="M301"/>
    <s v="B1245"/>
    <n v="9.9739000000000004"/>
  </r>
  <r>
    <d v="2026-01-05T00:00:00"/>
    <x v="0"/>
    <s v="Night"/>
    <s v="OP_D"/>
    <s v="M201"/>
    <s v="B1246"/>
    <n v="10.026300000000001"/>
  </r>
  <r>
    <d v="2026-01-05T00:00:00"/>
    <x v="2"/>
    <s v="Night"/>
    <s v="OP_D"/>
    <s v="M102"/>
    <s v="B1247"/>
    <n v="9.9997000000000007"/>
  </r>
  <r>
    <d v="2026-01-05T00:00:00"/>
    <x v="0"/>
    <s v="Night"/>
    <s v="OP_C"/>
    <s v="M101"/>
    <s v="B1248"/>
    <n v="10.0007"/>
  </r>
  <r>
    <d v="2026-01-05T00:00:00"/>
    <x v="0"/>
    <s v="Night"/>
    <s v="OP_A"/>
    <s v="M301"/>
    <s v="B1249"/>
    <n v="9.9795999999999996"/>
  </r>
  <r>
    <d v="2026-01-06T00:00:00"/>
    <x v="0"/>
    <s v="Afternoon"/>
    <s v="OP_D"/>
    <s v="M102"/>
    <s v="B1250"/>
    <n v="9.9992000000000001"/>
  </r>
  <r>
    <d v="2026-01-06T00:00:00"/>
    <x v="2"/>
    <s v="Afternoon"/>
    <s v="OP_C"/>
    <s v="M102"/>
    <s v="B1251"/>
    <n v="9.9696999999999996"/>
  </r>
  <r>
    <d v="2026-01-06T00:00:00"/>
    <x v="1"/>
    <s v="Afternoon"/>
    <s v="OP_B"/>
    <s v="M202"/>
    <s v="B1252"/>
    <n v="9.9382000000000001"/>
  </r>
  <r>
    <d v="2026-01-06T00:00:00"/>
    <x v="1"/>
    <s v="Morning"/>
    <s v="OP_C"/>
    <s v="M202"/>
    <s v="B1253"/>
    <n v="9.9985999999999997"/>
  </r>
  <r>
    <d v="2026-01-06T00:00:00"/>
    <x v="0"/>
    <s v="Afternoon"/>
    <s v="OP_C"/>
    <s v="M202"/>
    <s v="B1254"/>
    <n v="9.9936000000000007"/>
  </r>
  <r>
    <d v="2026-01-06T00:00:00"/>
    <x v="2"/>
    <s v="Afternoon"/>
    <s v="OP_B"/>
    <s v="M201"/>
    <s v="B1255"/>
    <n v="10.0138"/>
  </r>
  <r>
    <d v="2026-01-06T00:00:00"/>
    <x v="2"/>
    <s v="Night"/>
    <s v="OP_B"/>
    <s v="M102"/>
    <s v="B1256"/>
    <n v="10.0198"/>
  </r>
  <r>
    <d v="2026-01-06T00:00:00"/>
    <x v="0"/>
    <s v="Morning"/>
    <s v="OP_D"/>
    <s v="M101"/>
    <s v="B1257"/>
    <n v="9.9459"/>
  </r>
  <r>
    <d v="2026-01-06T00:00:00"/>
    <x v="0"/>
    <s v="Night"/>
    <s v="OP_B"/>
    <s v="M101"/>
    <s v="B1258"/>
    <n v="10.0253"/>
  </r>
  <r>
    <d v="2026-01-06T00:00:00"/>
    <x v="1"/>
    <s v="Night"/>
    <s v="OP_A"/>
    <s v="M102"/>
    <s v="B1259"/>
    <n v="10.0602"/>
  </r>
  <r>
    <d v="2026-01-06T00:00:00"/>
    <x v="1"/>
    <s v="Afternoon"/>
    <s v="OP_C"/>
    <s v="M201"/>
    <s v="B1260"/>
    <n v="9.9708000000000006"/>
  </r>
  <r>
    <d v="2026-01-06T00:00:00"/>
    <x v="0"/>
    <s v="Morning"/>
    <s v="OP_C"/>
    <s v="M101"/>
    <s v="B1261"/>
    <n v="10.003500000000001"/>
  </r>
  <r>
    <d v="2026-01-06T00:00:00"/>
    <x v="2"/>
    <s v="Morning"/>
    <s v="OP_A"/>
    <s v="M202"/>
    <s v="B1262"/>
    <n v="9.9931000000000001"/>
  </r>
  <r>
    <d v="2026-01-06T00:00:00"/>
    <x v="1"/>
    <s v="Night"/>
    <s v="OP_D"/>
    <s v="M102"/>
    <s v="B1263"/>
    <n v="9.9745000000000008"/>
  </r>
  <r>
    <d v="2026-01-06T00:00:00"/>
    <x v="1"/>
    <s v="Morning"/>
    <s v="OP_C"/>
    <s v="M101"/>
    <s v="B1264"/>
    <n v="10.030799999999999"/>
  </r>
  <r>
    <d v="2026-01-06T00:00:00"/>
    <x v="2"/>
    <s v="Night"/>
    <s v="OP_D"/>
    <s v="M202"/>
    <s v="B1265"/>
    <n v="10.0059"/>
  </r>
  <r>
    <d v="2026-01-06T00:00:00"/>
    <x v="0"/>
    <s v="Night"/>
    <s v="OP_A"/>
    <s v="M201"/>
    <s v="B1266"/>
    <n v="9.9949999999999992"/>
  </r>
  <r>
    <d v="2026-01-06T00:00:00"/>
    <x v="2"/>
    <s v="Night"/>
    <s v="OP_A"/>
    <s v="M202"/>
    <s v="B1267"/>
    <n v="9.9784000000000006"/>
  </r>
  <r>
    <d v="2026-01-06T00:00:00"/>
    <x v="0"/>
    <s v="Morning"/>
    <s v="OP_A"/>
    <s v="M202"/>
    <s v="B1268"/>
    <n v="9.9954000000000001"/>
  </r>
  <r>
    <d v="2026-01-06T00:00:00"/>
    <x v="1"/>
    <s v="Morning"/>
    <s v="OP_B"/>
    <s v="M101"/>
    <s v="B1269"/>
    <n v="10.034700000000001"/>
  </r>
  <r>
    <d v="2026-01-06T00:00:00"/>
    <x v="1"/>
    <s v="Morning"/>
    <s v="OP_C"/>
    <s v="M101"/>
    <s v="B1270"/>
    <n v="10.0237"/>
  </r>
  <r>
    <d v="2026-01-06T00:00:00"/>
    <x v="2"/>
    <s v="Afternoon"/>
    <s v="OP_B"/>
    <s v="M201"/>
    <s v="B1271"/>
    <n v="10.030099999999999"/>
  </r>
  <r>
    <d v="2026-01-06T00:00:00"/>
    <x v="2"/>
    <s v="Afternoon"/>
    <s v="OP_D"/>
    <s v="M301"/>
    <s v="B1272"/>
    <n v="10.036199999999999"/>
  </r>
  <r>
    <d v="2026-01-06T00:00:00"/>
    <x v="0"/>
    <s v="Night"/>
    <s v="OP_D"/>
    <s v="M101"/>
    <s v="B1273"/>
    <n v="9.9994999999999994"/>
  </r>
  <r>
    <d v="2026-01-06T00:00:00"/>
    <x v="0"/>
    <s v="Morning"/>
    <s v="OP_C"/>
    <s v="M301"/>
    <s v="B1274"/>
    <n v="9.9661000000000008"/>
  </r>
  <r>
    <d v="2026-01-06T00:00:00"/>
    <x v="1"/>
    <s v="Morning"/>
    <s v="OP_D"/>
    <s v="M101"/>
    <s v="B1275"/>
    <n v="10.0321"/>
  </r>
  <r>
    <d v="2026-01-06T00:00:00"/>
    <x v="1"/>
    <s v="Afternoon"/>
    <s v="OP_C"/>
    <s v="M201"/>
    <s v="B1276"/>
    <n v="10.073700000000001"/>
  </r>
  <r>
    <d v="2026-01-06T00:00:00"/>
    <x v="0"/>
    <s v="Morning"/>
    <s v="OP_B"/>
    <s v="M201"/>
    <s v="B1277"/>
    <n v="10.0017"/>
  </r>
  <r>
    <d v="2026-01-06T00:00:00"/>
    <x v="2"/>
    <s v="Night"/>
    <s v="OP_D"/>
    <s v="M202"/>
    <s v="B1278"/>
    <n v="10.013"/>
  </r>
  <r>
    <d v="2026-01-06T00:00:00"/>
    <x v="2"/>
    <s v="Night"/>
    <s v="OP_B"/>
    <s v="M101"/>
    <s v="B1279"/>
    <n v="9.9954999999999998"/>
  </r>
  <r>
    <d v="2026-01-06T00:00:00"/>
    <x v="1"/>
    <s v="Afternoon"/>
    <s v="OP_A"/>
    <s v="M301"/>
    <s v="B1280"/>
    <n v="10.0418"/>
  </r>
  <r>
    <d v="2026-01-06T00:00:00"/>
    <x v="0"/>
    <s v="Night"/>
    <s v="OP_D"/>
    <s v="M301"/>
    <s v="B1281"/>
    <n v="10.0313"/>
  </r>
  <r>
    <d v="2026-01-06T00:00:00"/>
    <x v="1"/>
    <s v="Afternoon"/>
    <s v="OP_A"/>
    <s v="M202"/>
    <s v="B1282"/>
    <n v="9.9885000000000002"/>
  </r>
  <r>
    <d v="2026-01-06T00:00:00"/>
    <x v="0"/>
    <s v="Afternoon"/>
    <s v="OP_D"/>
    <s v="M101"/>
    <s v="B1283"/>
    <n v="9.9962999999999997"/>
  </r>
  <r>
    <d v="2026-01-06T00:00:00"/>
    <x v="1"/>
    <s v="Morning"/>
    <s v="OP_C"/>
    <s v="M201"/>
    <s v="B1284"/>
    <n v="9.9707000000000008"/>
  </r>
  <r>
    <d v="2026-01-06T00:00:00"/>
    <x v="1"/>
    <s v="Morning"/>
    <s v="OP_C"/>
    <s v="M102"/>
    <s v="B1285"/>
    <n v="10.0055"/>
  </r>
  <r>
    <d v="2026-01-06T00:00:00"/>
    <x v="0"/>
    <s v="Night"/>
    <s v="OP_D"/>
    <s v="M201"/>
    <s v="B1286"/>
    <n v="10.0267"/>
  </r>
  <r>
    <d v="2026-01-06T00:00:00"/>
    <x v="2"/>
    <s v="Night"/>
    <s v="OP_B"/>
    <s v="M101"/>
    <s v="B1287"/>
    <n v="9.9859000000000009"/>
  </r>
  <r>
    <d v="2026-01-06T00:00:00"/>
    <x v="1"/>
    <s v="Morning"/>
    <s v="OP_B"/>
    <s v="M202"/>
    <s v="B1288"/>
    <n v="10.0158"/>
  </r>
  <r>
    <d v="2026-01-06T00:00:00"/>
    <x v="0"/>
    <s v="Night"/>
    <s v="OP_B"/>
    <s v="M202"/>
    <s v="B1289"/>
    <n v="10.036899999999999"/>
  </r>
  <r>
    <d v="2026-01-06T00:00:00"/>
    <x v="2"/>
    <s v="Afternoon"/>
    <s v="OP_C"/>
    <s v="M101"/>
    <s v="B1290"/>
    <n v="9.9651999999999994"/>
  </r>
  <r>
    <d v="2026-01-06T00:00:00"/>
    <x v="1"/>
    <s v="Night"/>
    <s v="OP_D"/>
    <s v="M201"/>
    <s v="B1291"/>
    <n v="9.9901999999999997"/>
  </r>
  <r>
    <d v="2026-01-06T00:00:00"/>
    <x v="1"/>
    <s v="Night"/>
    <s v="OP_D"/>
    <s v="M202"/>
    <s v="B1292"/>
    <n v="10.0807"/>
  </r>
  <r>
    <d v="2026-01-06T00:00:00"/>
    <x v="2"/>
    <s v="Night"/>
    <s v="OP_B"/>
    <s v="M202"/>
    <s v="B1293"/>
    <n v="10.028"/>
  </r>
  <r>
    <d v="2026-01-06T00:00:00"/>
    <x v="2"/>
    <s v="Afternoon"/>
    <s v="OP_B"/>
    <s v="M102"/>
    <s v="B1294"/>
    <n v="9.9717000000000002"/>
  </r>
  <r>
    <d v="2026-01-06T00:00:00"/>
    <x v="1"/>
    <s v="Afternoon"/>
    <s v="OP_A"/>
    <s v="M201"/>
    <s v="B1295"/>
    <n v="10.0184"/>
  </r>
  <r>
    <d v="2026-01-06T00:00:00"/>
    <x v="0"/>
    <s v="Night"/>
    <s v="OP_A"/>
    <s v="M102"/>
    <s v="B1296"/>
    <n v="10.004200000000001"/>
  </r>
  <r>
    <d v="2026-01-06T00:00:00"/>
    <x v="1"/>
    <s v="Night"/>
    <s v="OP_D"/>
    <s v="M301"/>
    <s v="B1297"/>
    <n v="10.031599999999999"/>
  </r>
  <r>
    <d v="2026-01-06T00:00:00"/>
    <x v="2"/>
    <s v="Morning"/>
    <s v="OP_A"/>
    <s v="M201"/>
    <s v="B1298"/>
    <n v="10.0039"/>
  </r>
  <r>
    <d v="2026-01-06T00:00:00"/>
    <x v="1"/>
    <s v="Morning"/>
    <s v="OP_C"/>
    <s v="M202"/>
    <s v="B1299"/>
    <n v="10.036"/>
  </r>
  <r>
    <d v="2026-01-07T00:00:00"/>
    <x v="0"/>
    <s v="Afternoon"/>
    <s v="OP_D"/>
    <s v="M101"/>
    <s v="B1300"/>
    <n v="10.0184"/>
  </r>
  <r>
    <d v="2026-01-07T00:00:00"/>
    <x v="0"/>
    <s v="Night"/>
    <s v="OP_B"/>
    <s v="M202"/>
    <s v="B1301"/>
    <n v="10.004300000000001"/>
  </r>
  <r>
    <d v="2026-01-07T00:00:00"/>
    <x v="0"/>
    <s v="Morning"/>
    <s v="OP_B"/>
    <s v="M102"/>
    <s v="B1302"/>
    <n v="10.0412"/>
  </r>
  <r>
    <d v="2026-01-07T00:00:00"/>
    <x v="1"/>
    <s v="Morning"/>
    <s v="OP_C"/>
    <s v="M301"/>
    <s v="B1303"/>
    <n v="10.042999999999999"/>
  </r>
  <r>
    <d v="2026-01-07T00:00:00"/>
    <x v="1"/>
    <s v="Night"/>
    <s v="OP_C"/>
    <s v="M201"/>
    <s v="B1304"/>
    <n v="10.017200000000001"/>
  </r>
  <r>
    <d v="2026-01-07T00:00:00"/>
    <x v="1"/>
    <s v="Morning"/>
    <s v="OP_C"/>
    <s v="M201"/>
    <s v="B1305"/>
    <n v="9.9832000000000001"/>
  </r>
  <r>
    <d v="2026-01-07T00:00:00"/>
    <x v="2"/>
    <s v="Morning"/>
    <s v="OP_C"/>
    <s v="M101"/>
    <s v="B1306"/>
    <n v="10.0032"/>
  </r>
  <r>
    <d v="2026-01-07T00:00:00"/>
    <x v="0"/>
    <s v="Morning"/>
    <s v="OP_B"/>
    <s v="M301"/>
    <s v="B1307"/>
    <n v="10.0169"/>
  </r>
  <r>
    <d v="2026-01-07T00:00:00"/>
    <x v="2"/>
    <s v="Night"/>
    <s v="OP_A"/>
    <s v="M202"/>
    <s v="B1308"/>
    <n v="9.9977999999999998"/>
  </r>
  <r>
    <d v="2026-01-07T00:00:00"/>
    <x v="1"/>
    <s v="Afternoon"/>
    <s v="OP_A"/>
    <s v="M202"/>
    <s v="B1309"/>
    <n v="10.066000000000001"/>
  </r>
  <r>
    <d v="2026-01-07T00:00:00"/>
    <x v="0"/>
    <s v="Morning"/>
    <s v="OP_D"/>
    <s v="M102"/>
    <s v="B1310"/>
    <n v="10.030900000000001"/>
  </r>
  <r>
    <d v="2026-01-07T00:00:00"/>
    <x v="2"/>
    <s v="Night"/>
    <s v="OP_A"/>
    <s v="M201"/>
    <s v="B1311"/>
    <n v="9.9596999999999998"/>
  </r>
  <r>
    <d v="2026-01-07T00:00:00"/>
    <x v="1"/>
    <s v="Night"/>
    <s v="OP_B"/>
    <s v="M202"/>
    <s v="B1312"/>
    <n v="9.9992999999999999"/>
  </r>
  <r>
    <d v="2026-01-07T00:00:00"/>
    <x v="0"/>
    <s v="Afternoon"/>
    <s v="OP_D"/>
    <s v="M201"/>
    <s v="B1313"/>
    <n v="10.0114"/>
  </r>
  <r>
    <d v="2026-01-07T00:00:00"/>
    <x v="1"/>
    <s v="Night"/>
    <s v="OP_C"/>
    <s v="M101"/>
    <s v="B1314"/>
    <n v="10.000299999999999"/>
  </r>
  <r>
    <d v="2026-01-07T00:00:00"/>
    <x v="2"/>
    <s v="Morning"/>
    <s v="OP_B"/>
    <s v="M201"/>
    <s v="B1315"/>
    <n v="10.0069"/>
  </r>
  <r>
    <d v="2026-01-07T00:00:00"/>
    <x v="0"/>
    <s v="Night"/>
    <s v="OP_B"/>
    <s v="M102"/>
    <s v="B1316"/>
    <n v="9.9824000000000002"/>
  </r>
  <r>
    <d v="2026-01-07T00:00:00"/>
    <x v="0"/>
    <s v="Night"/>
    <s v="OP_B"/>
    <s v="M101"/>
    <s v="B1317"/>
    <n v="9.9994999999999994"/>
  </r>
  <r>
    <d v="2026-01-07T00:00:00"/>
    <x v="0"/>
    <s v="Night"/>
    <s v="OP_B"/>
    <s v="M202"/>
    <s v="B1318"/>
    <n v="9.9971999999999994"/>
  </r>
  <r>
    <d v="2026-01-07T00:00:00"/>
    <x v="1"/>
    <s v="Night"/>
    <s v="OP_B"/>
    <s v="M101"/>
    <s v="B1319"/>
    <n v="10.0184"/>
  </r>
  <r>
    <d v="2026-01-07T00:00:00"/>
    <x v="1"/>
    <s v="Morning"/>
    <s v="OP_B"/>
    <s v="M101"/>
    <s v="B1320"/>
    <n v="9.9756999999999998"/>
  </r>
  <r>
    <d v="2026-01-07T00:00:00"/>
    <x v="1"/>
    <s v="Night"/>
    <s v="OP_D"/>
    <s v="M202"/>
    <s v="B1321"/>
    <n v="10.0634"/>
  </r>
  <r>
    <d v="2026-01-07T00:00:00"/>
    <x v="1"/>
    <s v="Morning"/>
    <s v="OP_C"/>
    <s v="M102"/>
    <s v="B1322"/>
    <n v="10.0068"/>
  </r>
  <r>
    <d v="2026-01-07T00:00:00"/>
    <x v="1"/>
    <s v="Morning"/>
    <s v="OP_C"/>
    <s v="M201"/>
    <s v="B1323"/>
    <n v="10.044"/>
  </r>
  <r>
    <d v="2026-01-07T00:00:00"/>
    <x v="0"/>
    <s v="Morning"/>
    <s v="OP_B"/>
    <s v="M202"/>
    <s v="B1324"/>
    <n v="10.019500000000001"/>
  </r>
  <r>
    <d v="2026-01-07T00:00:00"/>
    <x v="2"/>
    <s v="Afternoon"/>
    <s v="OP_C"/>
    <s v="M201"/>
    <s v="B1325"/>
    <n v="9.9901999999999997"/>
  </r>
  <r>
    <d v="2026-01-07T00:00:00"/>
    <x v="1"/>
    <s v="Morning"/>
    <s v="OP_D"/>
    <s v="M301"/>
    <s v="B1326"/>
    <n v="10.040100000000001"/>
  </r>
  <r>
    <d v="2026-01-07T00:00:00"/>
    <x v="1"/>
    <s v="Afternoon"/>
    <s v="OP_A"/>
    <s v="M201"/>
    <s v="B1327"/>
    <n v="9.9779"/>
  </r>
  <r>
    <d v="2026-01-07T00:00:00"/>
    <x v="0"/>
    <s v="Night"/>
    <s v="OP_C"/>
    <s v="M101"/>
    <s v="B1328"/>
    <n v="9.9728999999999992"/>
  </r>
  <r>
    <d v="2026-01-07T00:00:00"/>
    <x v="1"/>
    <s v="Night"/>
    <s v="OP_B"/>
    <s v="M202"/>
    <s v="B1329"/>
    <n v="10.026"/>
  </r>
  <r>
    <d v="2026-01-07T00:00:00"/>
    <x v="1"/>
    <s v="Afternoon"/>
    <s v="OP_B"/>
    <s v="M102"/>
    <s v="B1330"/>
    <n v="10.0397"/>
  </r>
  <r>
    <d v="2026-01-07T00:00:00"/>
    <x v="2"/>
    <s v="Morning"/>
    <s v="OP_A"/>
    <s v="M101"/>
    <s v="B1331"/>
    <n v="10.0006"/>
  </r>
  <r>
    <d v="2026-01-07T00:00:00"/>
    <x v="2"/>
    <s v="Night"/>
    <s v="OP_A"/>
    <s v="M101"/>
    <s v="B1332"/>
    <n v="9.9916"/>
  </r>
  <r>
    <d v="2026-01-07T00:00:00"/>
    <x v="0"/>
    <s v="Night"/>
    <s v="OP_D"/>
    <s v="M101"/>
    <s v="B1333"/>
    <n v="10.019600000000001"/>
  </r>
  <r>
    <d v="2026-01-07T00:00:00"/>
    <x v="2"/>
    <s v="Afternoon"/>
    <s v="OP_A"/>
    <s v="M301"/>
    <s v="B1334"/>
    <n v="10.0025"/>
  </r>
  <r>
    <d v="2026-01-07T00:00:00"/>
    <x v="1"/>
    <s v="Morning"/>
    <s v="OP_C"/>
    <s v="M202"/>
    <s v="B1335"/>
    <n v="10.069699999999999"/>
  </r>
  <r>
    <d v="2026-01-07T00:00:00"/>
    <x v="2"/>
    <s v="Afternoon"/>
    <s v="OP_D"/>
    <s v="M101"/>
    <s v="B1336"/>
    <n v="9.9835999999999991"/>
  </r>
  <r>
    <d v="2026-01-07T00:00:00"/>
    <x v="2"/>
    <s v="Afternoon"/>
    <s v="OP_A"/>
    <s v="M102"/>
    <s v="B1337"/>
    <n v="9.9977"/>
  </r>
  <r>
    <d v="2026-01-07T00:00:00"/>
    <x v="1"/>
    <s v="Night"/>
    <s v="OP_A"/>
    <s v="M202"/>
    <s v="B1338"/>
    <n v="10.026199999999999"/>
  </r>
  <r>
    <d v="2026-01-07T00:00:00"/>
    <x v="2"/>
    <s v="Morning"/>
    <s v="OP_B"/>
    <s v="M102"/>
    <s v="B1339"/>
    <n v="9.99"/>
  </r>
  <r>
    <d v="2026-01-07T00:00:00"/>
    <x v="1"/>
    <s v="Morning"/>
    <s v="OP_B"/>
    <s v="M102"/>
    <s v="B1340"/>
    <n v="10.004799999999999"/>
  </r>
  <r>
    <d v="2026-01-07T00:00:00"/>
    <x v="0"/>
    <s v="Morning"/>
    <s v="OP_A"/>
    <s v="M202"/>
    <s v="B1341"/>
    <n v="10.0404"/>
  </r>
  <r>
    <d v="2026-01-07T00:00:00"/>
    <x v="2"/>
    <s v="Night"/>
    <s v="OP_D"/>
    <s v="M102"/>
    <s v="B1342"/>
    <n v="9.9862000000000002"/>
  </r>
  <r>
    <d v="2026-01-07T00:00:00"/>
    <x v="2"/>
    <s v="Afternoon"/>
    <s v="OP_A"/>
    <s v="M202"/>
    <s v="B1343"/>
    <n v="10.007300000000001"/>
  </r>
  <r>
    <d v="2026-01-07T00:00:00"/>
    <x v="0"/>
    <s v="Afternoon"/>
    <s v="OP_A"/>
    <s v="M301"/>
    <s v="B1344"/>
    <n v="9.9682999999999993"/>
  </r>
  <r>
    <d v="2026-01-07T00:00:00"/>
    <x v="0"/>
    <s v="Night"/>
    <s v="OP_D"/>
    <s v="M202"/>
    <s v="B1345"/>
    <n v="9.9876000000000005"/>
  </r>
  <r>
    <d v="2026-01-07T00:00:00"/>
    <x v="0"/>
    <s v="Morning"/>
    <s v="OP_D"/>
    <s v="M301"/>
    <s v="B1346"/>
    <n v="10.0105"/>
  </r>
  <r>
    <d v="2026-01-07T00:00:00"/>
    <x v="2"/>
    <s v="Night"/>
    <s v="OP_A"/>
    <s v="M301"/>
    <s v="B1347"/>
    <n v="9.9834999999999994"/>
  </r>
  <r>
    <d v="2026-01-07T00:00:00"/>
    <x v="1"/>
    <s v="Night"/>
    <s v="OP_B"/>
    <s v="M101"/>
    <s v="B1348"/>
    <n v="10.0213"/>
  </r>
  <r>
    <d v="2026-01-07T00:00:00"/>
    <x v="1"/>
    <s v="Night"/>
    <s v="OP_B"/>
    <s v="M102"/>
    <s v="B1349"/>
    <n v="10.0227"/>
  </r>
  <r>
    <d v="2026-01-08T00:00:00"/>
    <x v="2"/>
    <s v="Afternoon"/>
    <s v="OP_B"/>
    <s v="M202"/>
    <s v="B1350"/>
    <n v="10.001799999999999"/>
  </r>
  <r>
    <d v="2026-01-08T00:00:00"/>
    <x v="1"/>
    <s v="Afternoon"/>
    <s v="OP_B"/>
    <s v="M301"/>
    <s v="B1351"/>
    <n v="10.046900000000001"/>
  </r>
  <r>
    <d v="2026-01-08T00:00:00"/>
    <x v="1"/>
    <s v="Night"/>
    <s v="OP_D"/>
    <s v="M201"/>
    <s v="B1352"/>
    <n v="10.0006"/>
  </r>
  <r>
    <d v="2026-01-08T00:00:00"/>
    <x v="0"/>
    <s v="Night"/>
    <s v="OP_B"/>
    <s v="M102"/>
    <s v="B1353"/>
    <n v="9.9931000000000001"/>
  </r>
  <r>
    <d v="2026-01-08T00:00:00"/>
    <x v="2"/>
    <s v="Afternoon"/>
    <s v="OP_C"/>
    <s v="M202"/>
    <s v="B1354"/>
    <n v="9.9749999999999996"/>
  </r>
  <r>
    <d v="2026-01-08T00:00:00"/>
    <x v="1"/>
    <s v="Morning"/>
    <s v="OP_A"/>
    <s v="M101"/>
    <s v="B1355"/>
    <n v="10.067"/>
  </r>
  <r>
    <d v="2026-01-08T00:00:00"/>
    <x v="2"/>
    <s v="Morning"/>
    <s v="OP_B"/>
    <s v="M202"/>
    <s v="B1356"/>
    <n v="9.9924999999999997"/>
  </r>
  <r>
    <d v="2026-01-08T00:00:00"/>
    <x v="0"/>
    <s v="Morning"/>
    <s v="OP_D"/>
    <s v="M201"/>
    <s v="B1357"/>
    <n v="10.007400000000001"/>
  </r>
  <r>
    <d v="2026-01-08T00:00:00"/>
    <x v="0"/>
    <s v="Morning"/>
    <s v="OP_D"/>
    <s v="M202"/>
    <s v="B1358"/>
    <n v="9.9802999999999997"/>
  </r>
  <r>
    <d v="2026-01-08T00:00:00"/>
    <x v="2"/>
    <s v="Afternoon"/>
    <s v="OP_B"/>
    <s v="M102"/>
    <s v="B1359"/>
    <n v="9.9733000000000001"/>
  </r>
  <r>
    <d v="2026-01-08T00:00:00"/>
    <x v="1"/>
    <s v="Morning"/>
    <s v="OP_D"/>
    <s v="M301"/>
    <s v="B1360"/>
    <n v="9.9830000000000005"/>
  </r>
  <r>
    <d v="2026-01-08T00:00:00"/>
    <x v="1"/>
    <s v="Morning"/>
    <s v="OP_A"/>
    <s v="M301"/>
    <s v="B1361"/>
    <n v="10.0229"/>
  </r>
  <r>
    <d v="2026-01-08T00:00:00"/>
    <x v="0"/>
    <s v="Morning"/>
    <s v="OP_A"/>
    <s v="M102"/>
    <s v="B1362"/>
    <n v="10.0372"/>
  </r>
  <r>
    <d v="2026-01-08T00:00:00"/>
    <x v="1"/>
    <s v="Night"/>
    <s v="OP_D"/>
    <s v="M201"/>
    <s v="B1363"/>
    <n v="10.004200000000001"/>
  </r>
  <r>
    <d v="2026-01-08T00:00:00"/>
    <x v="2"/>
    <s v="Morning"/>
    <s v="OP_A"/>
    <s v="M102"/>
    <s v="B1364"/>
    <n v="9.9854000000000003"/>
  </r>
  <r>
    <d v="2026-01-08T00:00:00"/>
    <x v="2"/>
    <s v="Night"/>
    <s v="OP_B"/>
    <s v="M202"/>
    <s v="B1365"/>
    <n v="10.033099999999999"/>
  </r>
  <r>
    <d v="2026-01-08T00:00:00"/>
    <x v="2"/>
    <s v="Afternoon"/>
    <s v="OP_C"/>
    <s v="M101"/>
    <s v="B1366"/>
    <n v="9.9803999999999995"/>
  </r>
  <r>
    <d v="2026-01-08T00:00:00"/>
    <x v="1"/>
    <s v="Morning"/>
    <s v="OP_A"/>
    <s v="M201"/>
    <s v="B1367"/>
    <n v="9.9955999999999996"/>
  </r>
  <r>
    <d v="2026-01-08T00:00:00"/>
    <x v="0"/>
    <s v="Morning"/>
    <s v="OP_B"/>
    <s v="M101"/>
    <s v="B1368"/>
    <n v="9.9944000000000006"/>
  </r>
  <r>
    <d v="2026-01-08T00:00:00"/>
    <x v="2"/>
    <s v="Morning"/>
    <s v="OP_A"/>
    <s v="M101"/>
    <s v="B1369"/>
    <n v="10.0015"/>
  </r>
  <r>
    <d v="2026-01-08T00:00:00"/>
    <x v="2"/>
    <s v="Night"/>
    <s v="OP_B"/>
    <s v="M201"/>
    <s v="B1370"/>
    <n v="10.0274"/>
  </r>
  <r>
    <d v="2026-01-08T00:00:00"/>
    <x v="0"/>
    <s v="Afternoon"/>
    <s v="OP_C"/>
    <s v="M202"/>
    <s v="B1371"/>
    <n v="9.9671000000000003"/>
  </r>
  <r>
    <d v="2026-01-08T00:00:00"/>
    <x v="2"/>
    <s v="Night"/>
    <s v="OP_D"/>
    <s v="M301"/>
    <s v="B1372"/>
    <n v="9.9700000000000006"/>
  </r>
  <r>
    <d v="2026-01-08T00:00:00"/>
    <x v="2"/>
    <s v="Afternoon"/>
    <s v="OP_C"/>
    <s v="M202"/>
    <s v="B1373"/>
    <n v="9.9987999999999992"/>
  </r>
  <r>
    <d v="2026-01-08T00:00:00"/>
    <x v="0"/>
    <s v="Morning"/>
    <s v="OP_A"/>
    <s v="M102"/>
    <s v="B1374"/>
    <n v="10.0198"/>
  </r>
  <r>
    <d v="2026-01-08T00:00:00"/>
    <x v="0"/>
    <s v="Morning"/>
    <s v="OP_C"/>
    <s v="M301"/>
    <s v="B1375"/>
    <n v="9.9930000000000003"/>
  </r>
  <r>
    <d v="2026-01-08T00:00:00"/>
    <x v="2"/>
    <s v="Night"/>
    <s v="OP_B"/>
    <s v="M102"/>
    <s v="B1376"/>
    <n v="10.0032"/>
  </r>
  <r>
    <d v="2026-01-08T00:00:00"/>
    <x v="2"/>
    <s v="Afternoon"/>
    <s v="OP_A"/>
    <s v="M201"/>
    <s v="B1377"/>
    <n v="10.0144"/>
  </r>
  <r>
    <d v="2026-01-08T00:00:00"/>
    <x v="1"/>
    <s v="Morning"/>
    <s v="OP_D"/>
    <s v="M102"/>
    <s v="B1378"/>
    <n v="10.0466"/>
  </r>
  <r>
    <d v="2026-01-08T00:00:00"/>
    <x v="1"/>
    <s v="Night"/>
    <s v="OP_A"/>
    <s v="M101"/>
    <s v="B1379"/>
    <n v="10.069100000000001"/>
  </r>
  <r>
    <d v="2026-01-08T00:00:00"/>
    <x v="0"/>
    <s v="Night"/>
    <s v="OP_A"/>
    <s v="M301"/>
    <s v="B1380"/>
    <n v="10.001099999999999"/>
  </r>
  <r>
    <d v="2026-01-08T00:00:00"/>
    <x v="1"/>
    <s v="Morning"/>
    <s v="OP_A"/>
    <s v="M101"/>
    <s v="B1381"/>
    <n v="10.0586"/>
  </r>
  <r>
    <d v="2026-01-08T00:00:00"/>
    <x v="2"/>
    <s v="Morning"/>
    <s v="OP_D"/>
    <s v="M101"/>
    <s v="B1382"/>
    <n v="9.9690999999999992"/>
  </r>
  <r>
    <d v="2026-01-08T00:00:00"/>
    <x v="0"/>
    <s v="Night"/>
    <s v="OP_B"/>
    <s v="M102"/>
    <s v="B1383"/>
    <n v="9.9793000000000003"/>
  </r>
  <r>
    <d v="2026-01-08T00:00:00"/>
    <x v="2"/>
    <s v="Night"/>
    <s v="OP_B"/>
    <s v="M202"/>
    <s v="B1384"/>
    <n v="9.9796999999999993"/>
  </r>
  <r>
    <d v="2026-01-08T00:00:00"/>
    <x v="0"/>
    <s v="Afternoon"/>
    <s v="OP_A"/>
    <s v="M102"/>
    <s v="B1385"/>
    <n v="10.011100000000001"/>
  </r>
  <r>
    <d v="2026-01-08T00:00:00"/>
    <x v="0"/>
    <s v="Morning"/>
    <s v="OP_C"/>
    <s v="M202"/>
    <s v="B1386"/>
    <n v="9.9879999999999995"/>
  </r>
  <r>
    <d v="2026-01-08T00:00:00"/>
    <x v="0"/>
    <s v="Afternoon"/>
    <s v="OP_A"/>
    <s v="M202"/>
    <s v="B1387"/>
    <n v="9.9949999999999992"/>
  </r>
  <r>
    <d v="2026-01-08T00:00:00"/>
    <x v="0"/>
    <s v="Morning"/>
    <s v="OP_B"/>
    <s v="M102"/>
    <s v="B1388"/>
    <n v="9.9751999999999992"/>
  </r>
  <r>
    <d v="2026-01-08T00:00:00"/>
    <x v="1"/>
    <s v="Night"/>
    <s v="OP_D"/>
    <s v="M102"/>
    <s v="B1389"/>
    <n v="10.013400000000001"/>
  </r>
  <r>
    <d v="2026-01-08T00:00:00"/>
    <x v="0"/>
    <s v="Night"/>
    <s v="OP_B"/>
    <s v="M301"/>
    <s v="B1390"/>
    <n v="9.9982000000000006"/>
  </r>
  <r>
    <d v="2026-01-08T00:00:00"/>
    <x v="2"/>
    <s v="Morning"/>
    <s v="OP_A"/>
    <s v="M202"/>
    <s v="B1391"/>
    <n v="10.0327"/>
  </r>
  <r>
    <d v="2026-01-08T00:00:00"/>
    <x v="1"/>
    <s v="Night"/>
    <s v="OP_A"/>
    <s v="M101"/>
    <s v="B1392"/>
    <n v="10.029199999999999"/>
  </r>
  <r>
    <d v="2026-01-08T00:00:00"/>
    <x v="1"/>
    <s v="Afternoon"/>
    <s v="OP_A"/>
    <s v="M301"/>
    <s v="B1393"/>
    <n v="9.9664000000000001"/>
  </r>
  <r>
    <d v="2026-01-08T00:00:00"/>
    <x v="2"/>
    <s v="Night"/>
    <s v="OP_D"/>
    <s v="M301"/>
    <s v="B1394"/>
    <n v="10.0351"/>
  </r>
  <r>
    <d v="2026-01-08T00:00:00"/>
    <x v="2"/>
    <s v="Afternoon"/>
    <s v="OP_B"/>
    <s v="M301"/>
    <s v="B1395"/>
    <n v="10.0365"/>
  </r>
  <r>
    <d v="2026-01-08T00:00:00"/>
    <x v="0"/>
    <s v="Morning"/>
    <s v="OP_B"/>
    <s v="M201"/>
    <s v="B1396"/>
    <n v="9.9896999999999991"/>
  </r>
  <r>
    <d v="2026-01-08T00:00:00"/>
    <x v="0"/>
    <s v="Afternoon"/>
    <s v="OP_D"/>
    <s v="M202"/>
    <s v="B1397"/>
    <n v="9.9976000000000003"/>
  </r>
  <r>
    <d v="2026-01-08T00:00:00"/>
    <x v="2"/>
    <s v="Morning"/>
    <s v="OP_A"/>
    <s v="M201"/>
    <s v="B1398"/>
    <n v="10.0197"/>
  </r>
  <r>
    <d v="2026-01-08T00:00:00"/>
    <x v="1"/>
    <s v="Afternoon"/>
    <s v="OP_D"/>
    <s v="M201"/>
    <s v="B1399"/>
    <n v="9.9932999999999996"/>
  </r>
  <r>
    <d v="2026-01-09T00:00:00"/>
    <x v="1"/>
    <s v="Night"/>
    <s v="OP_D"/>
    <s v="M102"/>
    <s v="B1400"/>
    <n v="10.002599999999999"/>
  </r>
  <r>
    <d v="2026-01-09T00:00:00"/>
    <x v="0"/>
    <s v="Morning"/>
    <s v="OP_D"/>
    <s v="M201"/>
    <s v="B1401"/>
    <n v="10.0274"/>
  </r>
  <r>
    <d v="2026-01-09T00:00:00"/>
    <x v="2"/>
    <s v="Morning"/>
    <s v="OP_D"/>
    <s v="M101"/>
    <s v="B1402"/>
    <n v="9.9918999999999993"/>
  </r>
  <r>
    <d v="2026-01-09T00:00:00"/>
    <x v="0"/>
    <s v="Afternoon"/>
    <s v="OP_D"/>
    <s v="M201"/>
    <s v="B1403"/>
    <n v="9.9953000000000003"/>
  </r>
  <r>
    <d v="2026-01-09T00:00:00"/>
    <x v="0"/>
    <s v="Night"/>
    <s v="OP_B"/>
    <s v="M101"/>
    <s v="B1404"/>
    <n v="10.006600000000001"/>
  </r>
  <r>
    <d v="2026-01-09T00:00:00"/>
    <x v="0"/>
    <s v="Afternoon"/>
    <s v="OP_D"/>
    <s v="M301"/>
    <s v="B1405"/>
    <n v="9.9984000000000002"/>
  </r>
  <r>
    <d v="2026-01-09T00:00:00"/>
    <x v="2"/>
    <s v="Night"/>
    <s v="OP_B"/>
    <s v="M202"/>
    <s v="B1406"/>
    <n v="9.9703999999999997"/>
  </r>
  <r>
    <d v="2026-01-09T00:00:00"/>
    <x v="2"/>
    <s v="Afternoon"/>
    <s v="OP_A"/>
    <s v="M301"/>
    <s v="B1407"/>
    <n v="9.9861000000000004"/>
  </r>
  <r>
    <d v="2026-01-09T00:00:00"/>
    <x v="0"/>
    <s v="Night"/>
    <s v="OP_A"/>
    <s v="M102"/>
    <s v="B1408"/>
    <n v="9.9658999999999995"/>
  </r>
  <r>
    <d v="2026-01-09T00:00:00"/>
    <x v="1"/>
    <s v="Afternoon"/>
    <s v="OP_A"/>
    <s v="M301"/>
    <s v="B1409"/>
    <n v="10.015700000000001"/>
  </r>
  <r>
    <d v="2026-01-09T00:00:00"/>
    <x v="2"/>
    <s v="Night"/>
    <s v="OP_A"/>
    <s v="M102"/>
    <s v="B1410"/>
    <n v="9.9806000000000008"/>
  </r>
  <r>
    <d v="2026-01-09T00:00:00"/>
    <x v="0"/>
    <s v="Night"/>
    <s v="OP_B"/>
    <s v="M301"/>
    <s v="B1411"/>
    <n v="10.0222"/>
  </r>
  <r>
    <d v="2026-01-09T00:00:00"/>
    <x v="1"/>
    <s v="Morning"/>
    <s v="OP_B"/>
    <s v="M301"/>
    <s v="B1412"/>
    <n v="10.058400000000001"/>
  </r>
  <r>
    <d v="2026-01-09T00:00:00"/>
    <x v="0"/>
    <s v="Night"/>
    <s v="OP_D"/>
    <s v="M101"/>
    <s v="B1413"/>
    <n v="10.016999999999999"/>
  </r>
  <r>
    <d v="2026-01-09T00:00:00"/>
    <x v="1"/>
    <s v="Morning"/>
    <s v="OP_C"/>
    <s v="M102"/>
    <s v="B1414"/>
    <n v="10.0418"/>
  </r>
  <r>
    <d v="2026-01-09T00:00:00"/>
    <x v="2"/>
    <s v="Night"/>
    <s v="OP_D"/>
    <s v="M202"/>
    <s v="B1415"/>
    <n v="9.9626999999999999"/>
  </r>
  <r>
    <d v="2026-01-09T00:00:00"/>
    <x v="0"/>
    <s v="Afternoon"/>
    <s v="OP_B"/>
    <s v="M101"/>
    <s v="B1416"/>
    <n v="9.9931999999999999"/>
  </r>
  <r>
    <d v="2026-01-09T00:00:00"/>
    <x v="0"/>
    <s v="Night"/>
    <s v="OP_B"/>
    <s v="M201"/>
    <s v="B1417"/>
    <n v="9.9816000000000003"/>
  </r>
  <r>
    <d v="2026-01-09T00:00:00"/>
    <x v="0"/>
    <s v="Morning"/>
    <s v="OP_D"/>
    <s v="M102"/>
    <s v="B1418"/>
    <n v="10.002700000000001"/>
  </r>
  <r>
    <d v="2026-01-09T00:00:00"/>
    <x v="1"/>
    <s v="Afternoon"/>
    <s v="OP_B"/>
    <s v="M101"/>
    <s v="B1419"/>
    <n v="10.004899999999999"/>
  </r>
  <r>
    <d v="2026-01-09T00:00:00"/>
    <x v="2"/>
    <s v="Night"/>
    <s v="OP_D"/>
    <s v="M102"/>
    <s v="B1420"/>
    <n v="10.023300000000001"/>
  </r>
  <r>
    <d v="2026-01-09T00:00:00"/>
    <x v="1"/>
    <s v="Morning"/>
    <s v="OP_A"/>
    <s v="M101"/>
    <s v="B1421"/>
    <n v="10.011699999999999"/>
  </r>
  <r>
    <d v="2026-01-09T00:00:00"/>
    <x v="2"/>
    <s v="Night"/>
    <s v="OP_D"/>
    <s v="M101"/>
    <s v="B1422"/>
    <n v="10.0121"/>
  </r>
  <r>
    <d v="2026-01-09T00:00:00"/>
    <x v="1"/>
    <s v="Afternoon"/>
    <s v="OP_D"/>
    <s v="M101"/>
    <s v="B1423"/>
    <n v="10.014699999999999"/>
  </r>
  <r>
    <d v="2026-01-09T00:00:00"/>
    <x v="2"/>
    <s v="Night"/>
    <s v="OP_C"/>
    <s v="M202"/>
    <s v="B1424"/>
    <n v="9.9802"/>
  </r>
  <r>
    <d v="2026-01-09T00:00:00"/>
    <x v="2"/>
    <s v="Afternoon"/>
    <s v="OP_D"/>
    <s v="M201"/>
    <s v="B1425"/>
    <n v="10.006399999999999"/>
  </r>
  <r>
    <d v="2026-01-09T00:00:00"/>
    <x v="1"/>
    <s v="Afternoon"/>
    <s v="OP_C"/>
    <s v="M301"/>
    <s v="B1426"/>
    <n v="10.011200000000001"/>
  </r>
  <r>
    <d v="2026-01-09T00:00:00"/>
    <x v="0"/>
    <s v="Night"/>
    <s v="OP_A"/>
    <s v="M201"/>
    <s v="B1427"/>
    <n v="10.0237"/>
  </r>
  <r>
    <d v="2026-01-09T00:00:00"/>
    <x v="0"/>
    <s v="Afternoon"/>
    <s v="OP_C"/>
    <s v="M102"/>
    <s v="B1428"/>
    <n v="10.003299999999999"/>
  </r>
  <r>
    <d v="2026-01-09T00:00:00"/>
    <x v="1"/>
    <s v="Night"/>
    <s v="OP_D"/>
    <s v="M201"/>
    <s v="B1429"/>
    <n v="10.0383"/>
  </r>
  <r>
    <d v="2026-01-09T00:00:00"/>
    <x v="2"/>
    <s v="Afternoon"/>
    <s v="OP_A"/>
    <s v="M301"/>
    <s v="B1430"/>
    <n v="9.9855999999999998"/>
  </r>
  <r>
    <d v="2026-01-09T00:00:00"/>
    <x v="0"/>
    <s v="Afternoon"/>
    <s v="OP_D"/>
    <s v="M301"/>
    <s v="B1431"/>
    <n v="9.9771000000000001"/>
  </r>
  <r>
    <d v="2026-01-09T00:00:00"/>
    <x v="1"/>
    <s v="Morning"/>
    <s v="OP_C"/>
    <s v="M202"/>
    <s v="B1432"/>
    <n v="9.9995999999999992"/>
  </r>
  <r>
    <d v="2026-01-09T00:00:00"/>
    <x v="2"/>
    <s v="Afternoon"/>
    <s v="OP_C"/>
    <s v="M202"/>
    <s v="B1433"/>
    <n v="9.9967000000000006"/>
  </r>
  <r>
    <d v="2026-01-09T00:00:00"/>
    <x v="1"/>
    <s v="Morning"/>
    <s v="OP_B"/>
    <s v="M202"/>
    <s v="B1434"/>
    <n v="10.026899999999999"/>
  </r>
  <r>
    <d v="2026-01-09T00:00:00"/>
    <x v="0"/>
    <s v="Morning"/>
    <s v="OP_B"/>
    <s v="M202"/>
    <s v="B1435"/>
    <n v="10.019399999999999"/>
  </r>
  <r>
    <d v="2026-01-09T00:00:00"/>
    <x v="2"/>
    <s v="Afternoon"/>
    <s v="OP_D"/>
    <s v="M201"/>
    <s v="B1436"/>
    <n v="10.002000000000001"/>
  </r>
  <r>
    <d v="2026-01-09T00:00:00"/>
    <x v="0"/>
    <s v="Morning"/>
    <s v="OP_A"/>
    <s v="M202"/>
    <s v="B1437"/>
    <n v="10.0099"/>
  </r>
  <r>
    <d v="2026-01-09T00:00:00"/>
    <x v="1"/>
    <s v="Afternoon"/>
    <s v="OP_D"/>
    <s v="M101"/>
    <s v="B1438"/>
    <n v="10.020099999999999"/>
  </r>
  <r>
    <d v="2026-01-09T00:00:00"/>
    <x v="2"/>
    <s v="Night"/>
    <s v="OP_D"/>
    <s v="M101"/>
    <s v="B1439"/>
    <n v="10.028499999999999"/>
  </r>
  <r>
    <d v="2026-01-09T00:00:00"/>
    <x v="2"/>
    <s v="Morning"/>
    <s v="OP_B"/>
    <s v="M102"/>
    <s v="B1440"/>
    <n v="9.9968000000000004"/>
  </r>
  <r>
    <d v="2026-01-09T00:00:00"/>
    <x v="2"/>
    <s v="Night"/>
    <s v="OP_D"/>
    <s v="M102"/>
    <s v="B1441"/>
    <n v="9.9910999999999994"/>
  </r>
  <r>
    <d v="2026-01-09T00:00:00"/>
    <x v="1"/>
    <s v="Afternoon"/>
    <s v="OP_D"/>
    <s v="M202"/>
    <s v="B1442"/>
    <n v="9.9654000000000007"/>
  </r>
  <r>
    <d v="2026-01-09T00:00:00"/>
    <x v="0"/>
    <s v="Night"/>
    <s v="OP_B"/>
    <s v="M202"/>
    <s v="B1443"/>
    <n v="10.0031"/>
  </r>
  <r>
    <d v="2026-01-09T00:00:00"/>
    <x v="2"/>
    <s v="Night"/>
    <s v="OP_A"/>
    <s v="M102"/>
    <s v="B1444"/>
    <n v="10.0083"/>
  </r>
  <r>
    <d v="2026-01-09T00:00:00"/>
    <x v="1"/>
    <s v="Night"/>
    <s v="OP_B"/>
    <s v="M202"/>
    <s v="B1445"/>
    <n v="10.0566"/>
  </r>
  <r>
    <d v="2026-01-09T00:00:00"/>
    <x v="2"/>
    <s v="Morning"/>
    <s v="OP_B"/>
    <s v="M201"/>
    <s v="B1446"/>
    <n v="9.9707000000000008"/>
  </r>
  <r>
    <d v="2026-01-09T00:00:00"/>
    <x v="0"/>
    <s v="Night"/>
    <s v="OP_B"/>
    <s v="M202"/>
    <s v="B1447"/>
    <n v="10.0115"/>
  </r>
  <r>
    <d v="2026-01-09T00:00:00"/>
    <x v="0"/>
    <s v="Night"/>
    <s v="OP_B"/>
    <s v="M201"/>
    <s v="B1448"/>
    <n v="10.013299999999999"/>
  </r>
  <r>
    <d v="2026-01-09T00:00:00"/>
    <x v="0"/>
    <s v="Night"/>
    <s v="OP_D"/>
    <s v="M301"/>
    <s v="B1449"/>
    <n v="9.9883000000000006"/>
  </r>
  <r>
    <d v="2026-01-10T00:00:00"/>
    <x v="0"/>
    <s v="Morning"/>
    <s v="OP_D"/>
    <s v="M201"/>
    <s v="B1450"/>
    <n v="9.9938000000000002"/>
  </r>
  <r>
    <d v="2026-01-10T00:00:00"/>
    <x v="0"/>
    <s v="Afternoon"/>
    <s v="OP_D"/>
    <s v="M202"/>
    <s v="B1451"/>
    <n v="10.0381"/>
  </r>
  <r>
    <d v="2026-01-10T00:00:00"/>
    <x v="0"/>
    <s v="Morning"/>
    <s v="OP_C"/>
    <s v="M101"/>
    <s v="B1452"/>
    <n v="10.0318"/>
  </r>
  <r>
    <d v="2026-01-10T00:00:00"/>
    <x v="2"/>
    <s v="Afternoon"/>
    <s v="OP_B"/>
    <s v="M301"/>
    <s v="B1453"/>
    <n v="9.9860000000000007"/>
  </r>
  <r>
    <d v="2026-01-10T00:00:00"/>
    <x v="2"/>
    <s v="Morning"/>
    <s v="OP_B"/>
    <s v="M102"/>
    <s v="B1454"/>
    <n v="9.9764999999999997"/>
  </r>
  <r>
    <d v="2026-01-10T00:00:00"/>
    <x v="2"/>
    <s v="Morning"/>
    <s v="OP_C"/>
    <s v="M102"/>
    <s v="B1455"/>
    <n v="9.9969000000000001"/>
  </r>
  <r>
    <d v="2026-01-10T00:00:00"/>
    <x v="2"/>
    <s v="Afternoon"/>
    <s v="OP_A"/>
    <s v="M201"/>
    <s v="B1456"/>
    <n v="10.009"/>
  </r>
  <r>
    <d v="2026-01-10T00:00:00"/>
    <x v="0"/>
    <s v="Morning"/>
    <s v="OP_C"/>
    <s v="M101"/>
    <s v="B1457"/>
    <n v="9.9586000000000006"/>
  </r>
  <r>
    <d v="2026-01-10T00:00:00"/>
    <x v="0"/>
    <s v="Night"/>
    <s v="OP_B"/>
    <s v="M101"/>
    <s v="B1458"/>
    <n v="9.9771000000000001"/>
  </r>
  <r>
    <d v="2026-01-10T00:00:00"/>
    <x v="0"/>
    <s v="Afternoon"/>
    <s v="OP_D"/>
    <s v="M202"/>
    <s v="B1459"/>
    <n v="10.0105"/>
  </r>
  <r>
    <d v="2026-01-10T00:00:00"/>
    <x v="1"/>
    <s v="Morning"/>
    <s v="OP_D"/>
    <s v="M101"/>
    <s v="B1460"/>
    <n v="10.068300000000001"/>
  </r>
  <r>
    <d v="2026-01-10T00:00:00"/>
    <x v="1"/>
    <s v="Night"/>
    <s v="OP_D"/>
    <s v="M202"/>
    <s v="B1461"/>
    <n v="10.007099999999999"/>
  </r>
  <r>
    <d v="2026-01-10T00:00:00"/>
    <x v="1"/>
    <s v="Afternoon"/>
    <s v="OP_C"/>
    <s v="M301"/>
    <s v="B1462"/>
    <n v="9.9695999999999998"/>
  </r>
  <r>
    <d v="2026-01-10T00:00:00"/>
    <x v="1"/>
    <s v="Night"/>
    <s v="OP_D"/>
    <s v="M201"/>
    <s v="B1463"/>
    <n v="10.004099999999999"/>
  </r>
  <r>
    <d v="2026-01-10T00:00:00"/>
    <x v="2"/>
    <s v="Morning"/>
    <s v="OP_A"/>
    <s v="M101"/>
    <s v="B1464"/>
    <n v="10.004"/>
  </r>
  <r>
    <d v="2026-01-10T00:00:00"/>
    <x v="0"/>
    <s v="Afternoon"/>
    <s v="OP_A"/>
    <s v="M101"/>
    <s v="B1465"/>
    <n v="9.9536999999999995"/>
  </r>
  <r>
    <d v="2026-01-10T00:00:00"/>
    <x v="2"/>
    <s v="Morning"/>
    <s v="OP_B"/>
    <s v="M301"/>
    <s v="B1466"/>
    <n v="10.004300000000001"/>
  </r>
  <r>
    <d v="2026-01-10T00:00:00"/>
    <x v="1"/>
    <s v="Afternoon"/>
    <s v="OP_D"/>
    <s v="M201"/>
    <s v="B1467"/>
    <n v="9.9821000000000009"/>
  </r>
  <r>
    <d v="2026-01-10T00:00:00"/>
    <x v="2"/>
    <s v="Afternoon"/>
    <s v="OP_C"/>
    <s v="M101"/>
    <s v="B1468"/>
    <n v="9.9923000000000002"/>
  </r>
  <r>
    <d v="2026-01-10T00:00:00"/>
    <x v="2"/>
    <s v="Afternoon"/>
    <s v="OP_D"/>
    <s v="M201"/>
    <s v="B1469"/>
    <n v="9.9870999999999999"/>
  </r>
  <r>
    <d v="2026-01-10T00:00:00"/>
    <x v="1"/>
    <s v="Morning"/>
    <s v="OP_A"/>
    <s v="M301"/>
    <s v="B1470"/>
    <n v="10.0121"/>
  </r>
  <r>
    <d v="2026-01-10T00:00:00"/>
    <x v="2"/>
    <s v="Morning"/>
    <s v="OP_D"/>
    <s v="M201"/>
    <s v="B1471"/>
    <n v="9.9971999999999994"/>
  </r>
  <r>
    <d v="2026-01-10T00:00:00"/>
    <x v="1"/>
    <s v="Night"/>
    <s v="OP_B"/>
    <s v="M102"/>
    <s v="B1472"/>
    <n v="10.0601"/>
  </r>
  <r>
    <d v="2026-01-10T00:00:00"/>
    <x v="0"/>
    <s v="Morning"/>
    <s v="OP_C"/>
    <s v="M102"/>
    <s v="B1473"/>
    <n v="10.022500000000001"/>
  </r>
  <r>
    <d v="2026-01-10T00:00:00"/>
    <x v="1"/>
    <s v="Morning"/>
    <s v="OP_C"/>
    <s v="M202"/>
    <s v="B1474"/>
    <n v="10.015499999999999"/>
  </r>
  <r>
    <d v="2026-01-10T00:00:00"/>
    <x v="2"/>
    <s v="Morning"/>
    <s v="OP_A"/>
    <s v="M301"/>
    <s v="B1475"/>
    <n v="10"/>
  </r>
  <r>
    <d v="2026-01-10T00:00:00"/>
    <x v="2"/>
    <s v="Afternoon"/>
    <s v="OP_D"/>
    <s v="M201"/>
    <s v="B1476"/>
    <n v="10.001799999999999"/>
  </r>
  <r>
    <d v="2026-01-10T00:00:00"/>
    <x v="0"/>
    <s v="Afternoon"/>
    <s v="OP_D"/>
    <s v="M102"/>
    <s v="B1477"/>
    <n v="10.0031"/>
  </r>
  <r>
    <d v="2026-01-10T00:00:00"/>
    <x v="1"/>
    <s v="Afternoon"/>
    <s v="OP_B"/>
    <s v="M301"/>
    <s v="B1478"/>
    <n v="10.024800000000001"/>
  </r>
  <r>
    <d v="2026-01-10T00:00:00"/>
    <x v="1"/>
    <s v="Morning"/>
    <s v="OP_B"/>
    <s v="M201"/>
    <s v="B1479"/>
    <n v="10.0181"/>
  </r>
  <r>
    <d v="2026-01-10T00:00:00"/>
    <x v="1"/>
    <s v="Morning"/>
    <s v="OP_D"/>
    <s v="M301"/>
    <s v="B1480"/>
    <n v="10.008800000000001"/>
  </r>
  <r>
    <d v="2026-01-10T00:00:00"/>
    <x v="1"/>
    <s v="Night"/>
    <s v="OP_C"/>
    <s v="M301"/>
    <s v="B1481"/>
    <n v="10.0128"/>
  </r>
  <r>
    <d v="2026-01-10T00:00:00"/>
    <x v="2"/>
    <s v="Afternoon"/>
    <s v="OP_D"/>
    <s v="M301"/>
    <s v="B1482"/>
    <n v="10.0023"/>
  </r>
  <r>
    <d v="2026-01-10T00:00:00"/>
    <x v="0"/>
    <s v="Morning"/>
    <s v="OP_C"/>
    <s v="M201"/>
    <s v="B1483"/>
    <n v="10.016999999999999"/>
  </r>
  <r>
    <d v="2026-01-10T00:00:00"/>
    <x v="2"/>
    <s v="Afternoon"/>
    <s v="OP_C"/>
    <s v="M101"/>
    <s v="B1484"/>
    <n v="9.9880999999999993"/>
  </r>
  <r>
    <d v="2026-01-10T00:00:00"/>
    <x v="2"/>
    <s v="Afternoon"/>
    <s v="OP_C"/>
    <s v="M101"/>
    <s v="B1485"/>
    <n v="9.9893000000000001"/>
  </r>
  <r>
    <d v="2026-01-10T00:00:00"/>
    <x v="0"/>
    <s v="Afternoon"/>
    <s v="OP_B"/>
    <s v="M102"/>
    <s v="B1486"/>
    <n v="9.9718999999999998"/>
  </r>
  <r>
    <d v="2026-01-10T00:00:00"/>
    <x v="0"/>
    <s v="Night"/>
    <s v="OP_A"/>
    <s v="M301"/>
    <s v="B1487"/>
    <n v="10.003399999999999"/>
  </r>
  <r>
    <d v="2026-01-10T00:00:00"/>
    <x v="0"/>
    <s v="Afternoon"/>
    <s v="OP_D"/>
    <s v="M201"/>
    <s v="B1488"/>
    <n v="10.0289"/>
  </r>
  <r>
    <d v="2026-01-10T00:00:00"/>
    <x v="0"/>
    <s v="Morning"/>
    <s v="OP_D"/>
    <s v="M202"/>
    <s v="B1489"/>
    <n v="10.0406"/>
  </r>
  <r>
    <d v="2026-01-10T00:00:00"/>
    <x v="0"/>
    <s v="Night"/>
    <s v="OP_A"/>
    <s v="M201"/>
    <s v="B1490"/>
    <n v="10.012600000000001"/>
  </r>
  <r>
    <d v="2026-01-10T00:00:00"/>
    <x v="1"/>
    <s v="Night"/>
    <s v="OP_D"/>
    <s v="M202"/>
    <s v="B1491"/>
    <n v="9.9879999999999995"/>
  </r>
  <r>
    <d v="2026-01-10T00:00:00"/>
    <x v="2"/>
    <s v="Night"/>
    <s v="OP_D"/>
    <s v="M201"/>
    <s v="B1492"/>
    <n v="10.0054"/>
  </r>
  <r>
    <d v="2026-01-10T00:00:00"/>
    <x v="1"/>
    <s v="Morning"/>
    <s v="OP_C"/>
    <s v="M301"/>
    <s v="B1493"/>
    <n v="10.0661"/>
  </r>
  <r>
    <d v="2026-01-10T00:00:00"/>
    <x v="0"/>
    <s v="Afternoon"/>
    <s v="OP_B"/>
    <s v="M202"/>
    <s v="B1494"/>
    <n v="9.9893999999999998"/>
  </r>
  <r>
    <d v="2026-01-10T00:00:00"/>
    <x v="1"/>
    <s v="Morning"/>
    <s v="OP_A"/>
    <s v="M102"/>
    <s v="B1495"/>
    <n v="10.045199999999999"/>
  </r>
  <r>
    <d v="2026-01-10T00:00:00"/>
    <x v="2"/>
    <s v="Morning"/>
    <s v="OP_D"/>
    <s v="M102"/>
    <s v="B1496"/>
    <n v="9.9845000000000006"/>
  </r>
  <r>
    <d v="2026-01-10T00:00:00"/>
    <x v="1"/>
    <s v="Night"/>
    <s v="OP_D"/>
    <s v="M301"/>
    <s v="B1497"/>
    <n v="10.01"/>
  </r>
  <r>
    <d v="2026-01-10T00:00:00"/>
    <x v="1"/>
    <s v="Night"/>
    <s v="OP_C"/>
    <s v="M201"/>
    <s v="B1498"/>
    <n v="10.070600000000001"/>
  </r>
  <r>
    <d v="2026-01-10T00:00:00"/>
    <x v="1"/>
    <s v="Night"/>
    <s v="OP_A"/>
    <s v="M202"/>
    <s v="B1499"/>
    <n v="10.013400000000001"/>
  </r>
  <r>
    <d v="2026-01-11T00:00:00"/>
    <x v="2"/>
    <s v="Afternoon"/>
    <s v="OP_C"/>
    <s v="M102"/>
    <s v="B1500"/>
    <n v="9.9884000000000004"/>
  </r>
  <r>
    <d v="2026-01-11T00:00:00"/>
    <x v="0"/>
    <s v="Night"/>
    <s v="OP_B"/>
    <s v="M301"/>
    <s v="B1501"/>
    <n v="10.0036"/>
  </r>
  <r>
    <d v="2026-01-11T00:00:00"/>
    <x v="2"/>
    <s v="Morning"/>
    <s v="OP_B"/>
    <s v="M202"/>
    <s v="B1502"/>
    <n v="9.9974000000000007"/>
  </r>
  <r>
    <d v="2026-01-11T00:00:00"/>
    <x v="1"/>
    <s v="Afternoon"/>
    <s v="OP_A"/>
    <s v="M201"/>
    <s v="B1503"/>
    <n v="10.0222"/>
  </r>
  <r>
    <d v="2026-01-11T00:00:00"/>
    <x v="1"/>
    <s v="Night"/>
    <s v="OP_D"/>
    <s v="M101"/>
    <s v="B1504"/>
    <n v="10.0593"/>
  </r>
  <r>
    <d v="2026-01-11T00:00:00"/>
    <x v="1"/>
    <s v="Morning"/>
    <s v="OP_C"/>
    <s v="M101"/>
    <s v="B1505"/>
    <n v="10.056900000000001"/>
  </r>
  <r>
    <d v="2026-01-11T00:00:00"/>
    <x v="2"/>
    <s v="Night"/>
    <s v="OP_C"/>
    <s v="M202"/>
    <s v="B1506"/>
    <n v="9.9748999999999999"/>
  </r>
  <r>
    <d v="2026-01-11T00:00:00"/>
    <x v="0"/>
    <s v="Afternoon"/>
    <s v="OP_C"/>
    <s v="M102"/>
    <s v="B1507"/>
    <n v="9.9906000000000006"/>
  </r>
  <r>
    <d v="2026-01-11T00:00:00"/>
    <x v="0"/>
    <s v="Afternoon"/>
    <s v="OP_B"/>
    <s v="M202"/>
    <s v="B1508"/>
    <n v="10.0053"/>
  </r>
  <r>
    <d v="2026-01-11T00:00:00"/>
    <x v="0"/>
    <s v="Afternoon"/>
    <s v="OP_D"/>
    <s v="M301"/>
    <s v="B1509"/>
    <n v="9.9893000000000001"/>
  </r>
  <r>
    <d v="2026-01-11T00:00:00"/>
    <x v="1"/>
    <s v="Afternoon"/>
    <s v="OP_A"/>
    <s v="M101"/>
    <s v="B1510"/>
    <n v="10.000299999999999"/>
  </r>
  <r>
    <d v="2026-01-11T00:00:00"/>
    <x v="1"/>
    <s v="Afternoon"/>
    <s v="OP_B"/>
    <s v="M101"/>
    <s v="B1511"/>
    <n v="10.0649"/>
  </r>
  <r>
    <d v="2026-01-11T00:00:00"/>
    <x v="1"/>
    <s v="Morning"/>
    <s v="OP_C"/>
    <s v="M201"/>
    <s v="B1512"/>
    <n v="10.0596"/>
  </r>
  <r>
    <d v="2026-01-11T00:00:00"/>
    <x v="2"/>
    <s v="Night"/>
    <s v="OP_C"/>
    <s v="M301"/>
    <s v="B1513"/>
    <n v="10.010999999999999"/>
  </r>
  <r>
    <d v="2026-01-11T00:00:00"/>
    <x v="2"/>
    <s v="Afternoon"/>
    <s v="OP_A"/>
    <s v="M102"/>
    <s v="B1514"/>
    <n v="10.006600000000001"/>
  </r>
  <r>
    <d v="2026-01-11T00:00:00"/>
    <x v="1"/>
    <s v="Morning"/>
    <s v="OP_B"/>
    <s v="M102"/>
    <s v="B1515"/>
    <n v="10.0183"/>
  </r>
  <r>
    <d v="2026-01-11T00:00:00"/>
    <x v="1"/>
    <s v="Night"/>
    <s v="OP_D"/>
    <s v="M301"/>
    <s v="B1516"/>
    <n v="10.048500000000001"/>
  </r>
  <r>
    <d v="2026-01-11T00:00:00"/>
    <x v="1"/>
    <s v="Afternoon"/>
    <s v="OP_B"/>
    <s v="M301"/>
    <s v="B1517"/>
    <n v="10.0304"/>
  </r>
  <r>
    <d v="2026-01-11T00:00:00"/>
    <x v="1"/>
    <s v="Afternoon"/>
    <s v="OP_B"/>
    <s v="M102"/>
    <s v="B1518"/>
    <n v="10.0457"/>
  </r>
  <r>
    <d v="2026-01-11T00:00:00"/>
    <x v="2"/>
    <s v="Morning"/>
    <s v="OP_A"/>
    <s v="M301"/>
    <s v="B1519"/>
    <n v="9.9771000000000001"/>
  </r>
  <r>
    <d v="2026-01-11T00:00:00"/>
    <x v="0"/>
    <s v="Morning"/>
    <s v="OP_B"/>
    <s v="M202"/>
    <s v="B1520"/>
    <n v="9.9785000000000004"/>
  </r>
  <r>
    <d v="2026-01-11T00:00:00"/>
    <x v="2"/>
    <s v="Morning"/>
    <s v="OP_A"/>
    <s v="M101"/>
    <s v="B1521"/>
    <n v="10.01"/>
  </r>
  <r>
    <d v="2026-01-11T00:00:00"/>
    <x v="2"/>
    <s v="Afternoon"/>
    <s v="OP_C"/>
    <s v="M201"/>
    <s v="B1522"/>
    <n v="10.010400000000001"/>
  </r>
  <r>
    <d v="2026-01-11T00:00:00"/>
    <x v="1"/>
    <s v="Morning"/>
    <s v="OP_B"/>
    <s v="M101"/>
    <s v="B1523"/>
    <n v="10.085699999999999"/>
  </r>
  <r>
    <d v="2026-01-11T00:00:00"/>
    <x v="0"/>
    <s v="Afternoon"/>
    <s v="OP_B"/>
    <s v="M301"/>
    <s v="B1524"/>
    <n v="9.9742999999999995"/>
  </r>
  <r>
    <d v="2026-01-11T00:00:00"/>
    <x v="2"/>
    <s v="Morning"/>
    <s v="OP_A"/>
    <s v="M301"/>
    <s v="B1525"/>
    <n v="10.024699999999999"/>
  </r>
  <r>
    <d v="2026-01-11T00:00:00"/>
    <x v="0"/>
    <s v="Night"/>
    <s v="OP_D"/>
    <s v="M202"/>
    <s v="B1526"/>
    <n v="10.019299999999999"/>
  </r>
  <r>
    <d v="2026-01-11T00:00:00"/>
    <x v="2"/>
    <s v="Morning"/>
    <s v="OP_B"/>
    <s v="M102"/>
    <s v="B1527"/>
    <n v="9.9855"/>
  </r>
  <r>
    <d v="2026-01-11T00:00:00"/>
    <x v="0"/>
    <s v="Night"/>
    <s v="OP_D"/>
    <s v="M202"/>
    <s v="B1528"/>
    <n v="10.005800000000001"/>
  </r>
  <r>
    <d v="2026-01-11T00:00:00"/>
    <x v="0"/>
    <s v="Morning"/>
    <s v="OP_C"/>
    <s v="M201"/>
    <s v="B1529"/>
    <n v="10.005699999999999"/>
  </r>
  <r>
    <d v="2026-01-11T00:00:00"/>
    <x v="0"/>
    <s v="Morning"/>
    <s v="OP_D"/>
    <s v="M102"/>
    <s v="B1530"/>
    <n v="9.9986999999999995"/>
  </r>
  <r>
    <d v="2026-01-11T00:00:00"/>
    <x v="0"/>
    <s v="Night"/>
    <s v="OP_B"/>
    <s v="M101"/>
    <s v="B1531"/>
    <n v="9.9906000000000006"/>
  </r>
  <r>
    <d v="2026-01-11T00:00:00"/>
    <x v="2"/>
    <s v="Night"/>
    <s v="OP_B"/>
    <s v="M101"/>
    <s v="B1532"/>
    <n v="9.9984999999999999"/>
  </r>
  <r>
    <d v="2026-01-11T00:00:00"/>
    <x v="1"/>
    <s v="Afternoon"/>
    <s v="OP_B"/>
    <s v="M201"/>
    <s v="B1533"/>
    <n v="10.0044"/>
  </r>
  <r>
    <d v="2026-01-11T00:00:00"/>
    <x v="0"/>
    <s v="Night"/>
    <s v="OP_B"/>
    <s v="M301"/>
    <s v="B1534"/>
    <n v="10.0062"/>
  </r>
  <r>
    <d v="2026-01-11T00:00:00"/>
    <x v="2"/>
    <s v="Morning"/>
    <s v="OP_D"/>
    <s v="M101"/>
    <s v="B1535"/>
    <n v="10.011100000000001"/>
  </r>
  <r>
    <d v="2026-01-11T00:00:00"/>
    <x v="2"/>
    <s v="Morning"/>
    <s v="OP_D"/>
    <s v="M201"/>
    <s v="B1536"/>
    <n v="9.9766999999999992"/>
  </r>
  <r>
    <d v="2026-01-11T00:00:00"/>
    <x v="2"/>
    <s v="Morning"/>
    <s v="OP_D"/>
    <s v="M102"/>
    <s v="B1537"/>
    <n v="9.9987999999999992"/>
  </r>
  <r>
    <d v="2026-01-11T00:00:00"/>
    <x v="0"/>
    <s v="Morning"/>
    <s v="OP_A"/>
    <s v="M101"/>
    <s v="B1538"/>
    <n v="10.0161"/>
  </r>
  <r>
    <d v="2026-01-11T00:00:00"/>
    <x v="2"/>
    <s v="Morning"/>
    <s v="OP_D"/>
    <s v="M202"/>
    <s v="B1539"/>
    <n v="10.034700000000001"/>
  </r>
  <r>
    <d v="2026-01-11T00:00:00"/>
    <x v="2"/>
    <s v="Night"/>
    <s v="OP_A"/>
    <s v="M201"/>
    <s v="B1540"/>
    <n v="9.9666999999999994"/>
  </r>
  <r>
    <d v="2026-01-11T00:00:00"/>
    <x v="0"/>
    <s v="Morning"/>
    <s v="OP_B"/>
    <s v="M202"/>
    <s v="B1541"/>
    <n v="9.9690999999999992"/>
  </r>
  <r>
    <d v="2026-01-11T00:00:00"/>
    <x v="2"/>
    <s v="Afternoon"/>
    <s v="OP_A"/>
    <s v="M201"/>
    <s v="B1542"/>
    <n v="9.9860000000000007"/>
  </r>
  <r>
    <d v="2026-01-11T00:00:00"/>
    <x v="1"/>
    <s v="Morning"/>
    <s v="OP_B"/>
    <s v="M101"/>
    <s v="B1543"/>
    <n v="10.0311"/>
  </r>
  <r>
    <d v="2026-01-11T00:00:00"/>
    <x v="2"/>
    <s v="Night"/>
    <s v="OP_A"/>
    <s v="M301"/>
    <s v="B1544"/>
    <n v="9.9960000000000004"/>
  </r>
  <r>
    <d v="2026-01-11T00:00:00"/>
    <x v="1"/>
    <s v="Morning"/>
    <s v="OP_C"/>
    <s v="M202"/>
    <s v="B1545"/>
    <n v="10.005800000000001"/>
  </r>
  <r>
    <d v="2026-01-11T00:00:00"/>
    <x v="2"/>
    <s v="Afternoon"/>
    <s v="OP_C"/>
    <s v="M101"/>
    <s v="B1546"/>
    <n v="9.9834999999999994"/>
  </r>
  <r>
    <d v="2026-01-11T00:00:00"/>
    <x v="0"/>
    <s v="Night"/>
    <s v="OP_B"/>
    <s v="M201"/>
    <s v="B1547"/>
    <n v="9.9818999999999996"/>
  </r>
  <r>
    <d v="2026-01-11T00:00:00"/>
    <x v="0"/>
    <s v="Morning"/>
    <s v="OP_B"/>
    <s v="M301"/>
    <s v="B1548"/>
    <n v="9.9963999999999995"/>
  </r>
  <r>
    <d v="2026-01-11T00:00:00"/>
    <x v="2"/>
    <s v="Afternoon"/>
    <s v="OP_C"/>
    <s v="M202"/>
    <s v="B1549"/>
    <n v="10.0207"/>
  </r>
  <r>
    <d v="2026-01-12T00:00:00"/>
    <x v="1"/>
    <s v="Morning"/>
    <s v="OP_C"/>
    <s v="M301"/>
    <s v="B1550"/>
    <n v="10.074400000000001"/>
  </r>
  <r>
    <d v="2026-01-12T00:00:00"/>
    <x v="2"/>
    <s v="Night"/>
    <s v="OP_D"/>
    <s v="M101"/>
    <s v="B1551"/>
    <n v="10.0305"/>
  </r>
  <r>
    <d v="2026-01-12T00:00:00"/>
    <x v="1"/>
    <s v="Morning"/>
    <s v="OP_C"/>
    <s v="M201"/>
    <s v="B1552"/>
    <n v="10.007899999999999"/>
  </r>
  <r>
    <d v="2026-01-12T00:00:00"/>
    <x v="0"/>
    <s v="Afternoon"/>
    <s v="OP_A"/>
    <s v="M301"/>
    <s v="B1553"/>
    <n v="10.0108"/>
  </r>
  <r>
    <d v="2026-01-12T00:00:00"/>
    <x v="1"/>
    <s v="Morning"/>
    <s v="OP_C"/>
    <s v="M102"/>
    <s v="B1554"/>
    <n v="9.9893999999999998"/>
  </r>
  <r>
    <d v="2026-01-12T00:00:00"/>
    <x v="0"/>
    <s v="Morning"/>
    <s v="OP_C"/>
    <s v="M202"/>
    <s v="B1555"/>
    <n v="10.0063"/>
  </r>
  <r>
    <d v="2026-01-12T00:00:00"/>
    <x v="1"/>
    <s v="Afternoon"/>
    <s v="OP_A"/>
    <s v="M201"/>
    <s v="B1556"/>
    <n v="10.0639"/>
  </r>
  <r>
    <d v="2026-01-12T00:00:00"/>
    <x v="1"/>
    <s v="Morning"/>
    <s v="OP_C"/>
    <s v="M301"/>
    <s v="B1557"/>
    <n v="9.9969999999999999"/>
  </r>
  <r>
    <d v="2026-01-12T00:00:00"/>
    <x v="1"/>
    <s v="Morning"/>
    <s v="OP_C"/>
    <s v="M102"/>
    <s v="B1558"/>
    <n v="10.0002"/>
  </r>
  <r>
    <d v="2026-01-12T00:00:00"/>
    <x v="0"/>
    <s v="Morning"/>
    <s v="OP_B"/>
    <s v="M102"/>
    <s v="B1559"/>
    <n v="10.000299999999999"/>
  </r>
  <r>
    <d v="2026-01-12T00:00:00"/>
    <x v="1"/>
    <s v="Night"/>
    <s v="OP_D"/>
    <s v="M202"/>
    <s v="B1560"/>
    <n v="9.9931000000000001"/>
  </r>
  <r>
    <d v="2026-01-12T00:00:00"/>
    <x v="2"/>
    <s v="Afternoon"/>
    <s v="OP_A"/>
    <s v="M301"/>
    <s v="B1561"/>
    <n v="10.0023"/>
  </r>
  <r>
    <d v="2026-01-12T00:00:00"/>
    <x v="0"/>
    <s v="Morning"/>
    <s v="OP_C"/>
    <s v="M102"/>
    <s v="B1562"/>
    <n v="9.9628999999999994"/>
  </r>
  <r>
    <d v="2026-01-12T00:00:00"/>
    <x v="2"/>
    <s v="Afternoon"/>
    <s v="OP_A"/>
    <s v="M201"/>
    <s v="B1563"/>
    <n v="9.9735999999999994"/>
  </r>
  <r>
    <d v="2026-01-12T00:00:00"/>
    <x v="0"/>
    <s v="Afternoon"/>
    <s v="OP_B"/>
    <s v="M101"/>
    <s v="B1564"/>
    <n v="9.9789999999999992"/>
  </r>
  <r>
    <d v="2026-01-12T00:00:00"/>
    <x v="2"/>
    <s v="Morning"/>
    <s v="OP_B"/>
    <s v="M202"/>
    <s v="B1565"/>
    <n v="10.011900000000001"/>
  </r>
  <r>
    <d v="2026-01-12T00:00:00"/>
    <x v="0"/>
    <s v="Afternoon"/>
    <s v="OP_A"/>
    <s v="M202"/>
    <s v="B1566"/>
    <n v="10.023099999999999"/>
  </r>
  <r>
    <d v="2026-01-12T00:00:00"/>
    <x v="2"/>
    <s v="Afternoon"/>
    <s v="OP_B"/>
    <s v="M301"/>
    <s v="B1567"/>
    <n v="10.0105"/>
  </r>
  <r>
    <d v="2026-01-12T00:00:00"/>
    <x v="2"/>
    <s v="Night"/>
    <s v="OP_C"/>
    <s v="M301"/>
    <s v="B1568"/>
    <n v="9.9915000000000003"/>
  </r>
  <r>
    <d v="2026-01-12T00:00:00"/>
    <x v="0"/>
    <s v="Afternoon"/>
    <s v="OP_C"/>
    <s v="M301"/>
    <s v="B1569"/>
    <n v="10.0136"/>
  </r>
  <r>
    <d v="2026-01-12T00:00:00"/>
    <x v="1"/>
    <s v="Morning"/>
    <s v="OP_D"/>
    <s v="M201"/>
    <s v="B1570"/>
    <n v="10.0345"/>
  </r>
  <r>
    <d v="2026-01-12T00:00:00"/>
    <x v="0"/>
    <s v="Night"/>
    <s v="OP_A"/>
    <s v="M202"/>
    <s v="B1571"/>
    <n v="10.0129"/>
  </r>
  <r>
    <d v="2026-01-12T00:00:00"/>
    <x v="1"/>
    <s v="Afternoon"/>
    <s v="OP_A"/>
    <s v="M201"/>
    <s v="B1572"/>
    <n v="10.0395"/>
  </r>
  <r>
    <d v="2026-01-12T00:00:00"/>
    <x v="2"/>
    <s v="Afternoon"/>
    <s v="OP_D"/>
    <s v="M202"/>
    <s v="B1573"/>
    <n v="9.9810999999999996"/>
  </r>
  <r>
    <d v="2026-01-12T00:00:00"/>
    <x v="2"/>
    <s v="Afternoon"/>
    <s v="OP_D"/>
    <s v="M202"/>
    <s v="B1574"/>
    <n v="10.0146"/>
  </r>
  <r>
    <d v="2026-01-12T00:00:00"/>
    <x v="0"/>
    <s v="Morning"/>
    <s v="OP_A"/>
    <s v="M202"/>
    <s v="B1575"/>
    <n v="10.0001"/>
  </r>
  <r>
    <d v="2026-01-12T00:00:00"/>
    <x v="2"/>
    <s v="Morning"/>
    <s v="OP_A"/>
    <s v="M102"/>
    <s v="B1576"/>
    <n v="9.9969999999999999"/>
  </r>
  <r>
    <d v="2026-01-12T00:00:00"/>
    <x v="2"/>
    <s v="Morning"/>
    <s v="OP_B"/>
    <s v="M202"/>
    <s v="B1577"/>
    <n v="10.0114"/>
  </r>
  <r>
    <d v="2026-01-12T00:00:00"/>
    <x v="2"/>
    <s v="Afternoon"/>
    <s v="OP_D"/>
    <s v="M101"/>
    <s v="B1578"/>
    <n v="9.9878999999999998"/>
  </r>
  <r>
    <d v="2026-01-12T00:00:00"/>
    <x v="0"/>
    <s v="Afternoon"/>
    <s v="OP_B"/>
    <s v="M101"/>
    <s v="B1579"/>
    <n v="9.9823000000000004"/>
  </r>
  <r>
    <d v="2026-01-12T00:00:00"/>
    <x v="0"/>
    <s v="Night"/>
    <s v="OP_D"/>
    <s v="M202"/>
    <s v="B1580"/>
    <n v="9.9878"/>
  </r>
  <r>
    <d v="2026-01-12T00:00:00"/>
    <x v="0"/>
    <s v="Morning"/>
    <s v="OP_A"/>
    <s v="M301"/>
    <s v="B1581"/>
    <n v="10.051500000000001"/>
  </r>
  <r>
    <d v="2026-01-12T00:00:00"/>
    <x v="1"/>
    <s v="Afternoon"/>
    <s v="OP_C"/>
    <s v="M101"/>
    <s v="B1582"/>
    <n v="10.039400000000001"/>
  </r>
  <r>
    <d v="2026-01-12T00:00:00"/>
    <x v="1"/>
    <s v="Afternoon"/>
    <s v="OP_D"/>
    <s v="M101"/>
    <s v="B1583"/>
    <n v="9.9982000000000006"/>
  </r>
  <r>
    <d v="2026-01-12T00:00:00"/>
    <x v="0"/>
    <s v="Morning"/>
    <s v="OP_C"/>
    <s v="M202"/>
    <s v="B1584"/>
    <n v="10.016299999999999"/>
  </r>
  <r>
    <d v="2026-01-12T00:00:00"/>
    <x v="2"/>
    <s v="Afternoon"/>
    <s v="OP_C"/>
    <s v="M102"/>
    <s v="B1585"/>
    <n v="9.9917999999999996"/>
  </r>
  <r>
    <d v="2026-01-12T00:00:00"/>
    <x v="1"/>
    <s v="Morning"/>
    <s v="OP_C"/>
    <s v="M202"/>
    <s v="B1586"/>
    <n v="10.0336"/>
  </r>
  <r>
    <d v="2026-01-12T00:00:00"/>
    <x v="2"/>
    <s v="Morning"/>
    <s v="OP_C"/>
    <s v="M102"/>
    <s v="B1587"/>
    <n v="9.9968000000000004"/>
  </r>
  <r>
    <d v="2026-01-12T00:00:00"/>
    <x v="0"/>
    <s v="Night"/>
    <s v="OP_B"/>
    <s v="M202"/>
    <s v="B1588"/>
    <n v="9.9713999999999992"/>
  </r>
  <r>
    <d v="2026-01-12T00:00:00"/>
    <x v="1"/>
    <s v="Morning"/>
    <s v="OP_C"/>
    <s v="M101"/>
    <s v="B1589"/>
    <n v="9.9390999999999998"/>
  </r>
  <r>
    <d v="2026-01-12T00:00:00"/>
    <x v="2"/>
    <s v="Morning"/>
    <s v="OP_B"/>
    <s v="M301"/>
    <s v="B1590"/>
    <n v="9.9728999999999992"/>
  </r>
  <r>
    <d v="2026-01-12T00:00:00"/>
    <x v="2"/>
    <s v="Afternoon"/>
    <s v="OP_D"/>
    <s v="M101"/>
    <s v="B1591"/>
    <n v="9.9626000000000001"/>
  </r>
  <r>
    <d v="2026-01-12T00:00:00"/>
    <x v="0"/>
    <s v="Morning"/>
    <s v="OP_A"/>
    <s v="M102"/>
    <s v="B1592"/>
    <n v="10.0022"/>
  </r>
  <r>
    <d v="2026-01-12T00:00:00"/>
    <x v="2"/>
    <s v="Morning"/>
    <s v="OP_C"/>
    <s v="M101"/>
    <s v="B1593"/>
    <n v="10.002599999999999"/>
  </r>
  <r>
    <d v="2026-01-12T00:00:00"/>
    <x v="0"/>
    <s v="Afternoon"/>
    <s v="OP_A"/>
    <s v="M202"/>
    <s v="B1594"/>
    <n v="9.9984000000000002"/>
  </r>
  <r>
    <d v="2026-01-12T00:00:00"/>
    <x v="1"/>
    <s v="Morning"/>
    <s v="OP_D"/>
    <s v="M201"/>
    <s v="B1595"/>
    <n v="10.0199"/>
  </r>
  <r>
    <d v="2026-01-12T00:00:00"/>
    <x v="0"/>
    <s v="Morning"/>
    <s v="OP_B"/>
    <s v="M201"/>
    <s v="B1596"/>
    <n v="9.9956999999999994"/>
  </r>
  <r>
    <d v="2026-01-12T00:00:00"/>
    <x v="1"/>
    <s v="Night"/>
    <s v="OP_B"/>
    <s v="M201"/>
    <s v="B1597"/>
    <n v="10.0329"/>
  </r>
  <r>
    <d v="2026-01-12T00:00:00"/>
    <x v="0"/>
    <s v="Morning"/>
    <s v="OP_A"/>
    <s v="M102"/>
    <s v="B1598"/>
    <n v="10.0054"/>
  </r>
  <r>
    <d v="2026-01-12T00:00:00"/>
    <x v="0"/>
    <s v="Morning"/>
    <s v="OP_B"/>
    <s v="M202"/>
    <s v="B1599"/>
    <n v="10.000299999999999"/>
  </r>
  <r>
    <d v="2026-01-13T00:00:00"/>
    <x v="1"/>
    <s v="Morning"/>
    <s v="OP_D"/>
    <s v="M202"/>
    <s v="B1600"/>
    <n v="10.029999999999999"/>
  </r>
  <r>
    <d v="2026-01-13T00:00:00"/>
    <x v="2"/>
    <s v="Morning"/>
    <s v="OP_B"/>
    <s v="M102"/>
    <s v="B1601"/>
    <n v="9.9726999999999997"/>
  </r>
  <r>
    <d v="2026-01-13T00:00:00"/>
    <x v="0"/>
    <s v="Afternoon"/>
    <s v="OP_A"/>
    <s v="M201"/>
    <s v="B1602"/>
    <n v="10.016500000000001"/>
  </r>
  <r>
    <d v="2026-01-13T00:00:00"/>
    <x v="2"/>
    <s v="Night"/>
    <s v="OP_B"/>
    <s v="M301"/>
    <s v="B1603"/>
    <n v="10.0351"/>
  </r>
  <r>
    <d v="2026-01-13T00:00:00"/>
    <x v="1"/>
    <s v="Night"/>
    <s v="OP_D"/>
    <s v="M301"/>
    <s v="B1604"/>
    <n v="10.0152"/>
  </r>
  <r>
    <d v="2026-01-13T00:00:00"/>
    <x v="2"/>
    <s v="Night"/>
    <s v="OP_D"/>
    <s v="M101"/>
    <s v="B1605"/>
    <n v="9.9860000000000007"/>
  </r>
  <r>
    <d v="2026-01-13T00:00:00"/>
    <x v="2"/>
    <s v="Afternoon"/>
    <s v="OP_B"/>
    <s v="M102"/>
    <s v="B1606"/>
    <n v="9.9961000000000002"/>
  </r>
  <r>
    <d v="2026-01-13T00:00:00"/>
    <x v="0"/>
    <s v="Night"/>
    <s v="OP_D"/>
    <s v="M201"/>
    <s v="B1607"/>
    <n v="10.025600000000001"/>
  </r>
  <r>
    <d v="2026-01-13T00:00:00"/>
    <x v="1"/>
    <s v="Afternoon"/>
    <s v="OP_D"/>
    <s v="M201"/>
    <s v="B1608"/>
    <n v="9.9941999999999993"/>
  </r>
  <r>
    <d v="2026-01-13T00:00:00"/>
    <x v="0"/>
    <s v="Night"/>
    <s v="OP_D"/>
    <s v="M101"/>
    <s v="B1609"/>
    <n v="9.9878"/>
  </r>
  <r>
    <d v="2026-01-13T00:00:00"/>
    <x v="0"/>
    <s v="Morning"/>
    <s v="OP_D"/>
    <s v="M202"/>
    <s v="B1610"/>
    <n v="9.9974000000000007"/>
  </r>
  <r>
    <d v="2026-01-13T00:00:00"/>
    <x v="2"/>
    <s v="Morning"/>
    <s v="OP_C"/>
    <s v="M201"/>
    <s v="B1611"/>
    <n v="10.0021"/>
  </r>
  <r>
    <d v="2026-01-13T00:00:00"/>
    <x v="0"/>
    <s v="Morning"/>
    <s v="OP_B"/>
    <s v="M102"/>
    <s v="B1612"/>
    <n v="9.9799000000000007"/>
  </r>
  <r>
    <d v="2026-01-13T00:00:00"/>
    <x v="0"/>
    <s v="Afternoon"/>
    <s v="OP_A"/>
    <s v="M101"/>
    <s v="B1613"/>
    <n v="9.9742999999999995"/>
  </r>
  <r>
    <d v="2026-01-13T00:00:00"/>
    <x v="0"/>
    <s v="Night"/>
    <s v="OP_C"/>
    <s v="M201"/>
    <s v="B1614"/>
    <n v="9.9898000000000007"/>
  </r>
  <r>
    <d v="2026-01-13T00:00:00"/>
    <x v="2"/>
    <s v="Night"/>
    <s v="OP_B"/>
    <s v="M102"/>
    <s v="B1615"/>
    <n v="10.011200000000001"/>
  </r>
  <r>
    <d v="2026-01-13T00:00:00"/>
    <x v="1"/>
    <s v="Morning"/>
    <s v="OP_C"/>
    <s v="M102"/>
    <s v="B1616"/>
    <n v="10.047000000000001"/>
  </r>
  <r>
    <d v="2026-01-13T00:00:00"/>
    <x v="1"/>
    <s v="Night"/>
    <s v="OP_C"/>
    <s v="M102"/>
    <s v="B1617"/>
    <n v="10.047800000000001"/>
  </r>
  <r>
    <d v="2026-01-13T00:00:00"/>
    <x v="1"/>
    <s v="Night"/>
    <s v="OP_A"/>
    <s v="M301"/>
    <s v="B1618"/>
    <n v="10.102"/>
  </r>
  <r>
    <d v="2026-01-13T00:00:00"/>
    <x v="2"/>
    <s v="Afternoon"/>
    <s v="OP_D"/>
    <s v="M202"/>
    <s v="B1619"/>
    <n v="9.9847999999999999"/>
  </r>
  <r>
    <d v="2026-01-13T00:00:00"/>
    <x v="1"/>
    <s v="Afternoon"/>
    <s v="OP_B"/>
    <s v="M301"/>
    <s v="B1620"/>
    <n v="9.9920000000000009"/>
  </r>
  <r>
    <d v="2026-01-13T00:00:00"/>
    <x v="2"/>
    <s v="Night"/>
    <s v="OP_D"/>
    <s v="M201"/>
    <s v="B1621"/>
    <n v="10.0166"/>
  </r>
  <r>
    <d v="2026-01-13T00:00:00"/>
    <x v="0"/>
    <s v="Afternoon"/>
    <s v="OP_B"/>
    <s v="M102"/>
    <s v="B1622"/>
    <n v="10.0099"/>
  </r>
  <r>
    <d v="2026-01-13T00:00:00"/>
    <x v="1"/>
    <s v="Afternoon"/>
    <s v="OP_D"/>
    <s v="M202"/>
    <s v="B1623"/>
    <n v="9.9666999999999994"/>
  </r>
  <r>
    <d v="2026-01-13T00:00:00"/>
    <x v="1"/>
    <s v="Afternoon"/>
    <s v="OP_D"/>
    <s v="M301"/>
    <s v="B1624"/>
    <n v="9.9885000000000002"/>
  </r>
  <r>
    <d v="2026-01-13T00:00:00"/>
    <x v="1"/>
    <s v="Afternoon"/>
    <s v="OP_A"/>
    <s v="M301"/>
    <s v="B1625"/>
    <n v="10.014799999999999"/>
  </r>
  <r>
    <d v="2026-01-13T00:00:00"/>
    <x v="1"/>
    <s v="Night"/>
    <s v="OP_C"/>
    <s v="M301"/>
    <s v="B1626"/>
    <n v="10.0336"/>
  </r>
  <r>
    <d v="2026-01-13T00:00:00"/>
    <x v="1"/>
    <s v="Morning"/>
    <s v="OP_C"/>
    <s v="M201"/>
    <s v="B1627"/>
    <n v="10.042199999999999"/>
  </r>
  <r>
    <d v="2026-01-13T00:00:00"/>
    <x v="0"/>
    <s v="Afternoon"/>
    <s v="OP_C"/>
    <s v="M201"/>
    <s v="B1628"/>
    <n v="9.9952000000000005"/>
  </r>
  <r>
    <d v="2026-01-13T00:00:00"/>
    <x v="0"/>
    <s v="Afternoon"/>
    <s v="OP_C"/>
    <s v="M101"/>
    <s v="B1629"/>
    <n v="10.0024"/>
  </r>
  <r>
    <d v="2026-01-13T00:00:00"/>
    <x v="0"/>
    <s v="Afternoon"/>
    <s v="OP_C"/>
    <s v="M202"/>
    <s v="B1630"/>
    <n v="10.027900000000001"/>
  </r>
  <r>
    <d v="2026-01-13T00:00:00"/>
    <x v="2"/>
    <s v="Night"/>
    <s v="OP_A"/>
    <s v="M202"/>
    <s v="B1631"/>
    <n v="9.9807000000000006"/>
  </r>
  <r>
    <d v="2026-01-13T00:00:00"/>
    <x v="1"/>
    <s v="Afternoon"/>
    <s v="OP_D"/>
    <s v="M102"/>
    <s v="B1632"/>
    <n v="10.031000000000001"/>
  </r>
  <r>
    <d v="2026-01-13T00:00:00"/>
    <x v="1"/>
    <s v="Morning"/>
    <s v="OP_B"/>
    <s v="M201"/>
    <s v="B1633"/>
    <n v="10.0459"/>
  </r>
  <r>
    <d v="2026-01-13T00:00:00"/>
    <x v="0"/>
    <s v="Night"/>
    <s v="OP_B"/>
    <s v="M301"/>
    <s v="B1634"/>
    <n v="10"/>
  </r>
  <r>
    <d v="2026-01-13T00:00:00"/>
    <x v="1"/>
    <s v="Night"/>
    <s v="OP_B"/>
    <s v="M301"/>
    <s v="B1635"/>
    <n v="10.0174"/>
  </r>
  <r>
    <d v="2026-01-13T00:00:00"/>
    <x v="1"/>
    <s v="Afternoon"/>
    <s v="OP_C"/>
    <s v="M101"/>
    <s v="B1636"/>
    <n v="10.0496"/>
  </r>
  <r>
    <d v="2026-01-13T00:00:00"/>
    <x v="0"/>
    <s v="Night"/>
    <s v="OP_B"/>
    <s v="M101"/>
    <s v="B1637"/>
    <n v="10.0022"/>
  </r>
  <r>
    <d v="2026-01-13T00:00:00"/>
    <x v="1"/>
    <s v="Morning"/>
    <s v="OP_A"/>
    <s v="M201"/>
    <s v="B1638"/>
    <n v="9.9824000000000002"/>
  </r>
  <r>
    <d v="2026-01-13T00:00:00"/>
    <x v="2"/>
    <s v="Afternoon"/>
    <s v="OP_C"/>
    <s v="M102"/>
    <s v="B1639"/>
    <n v="10.0337"/>
  </r>
  <r>
    <d v="2026-01-13T00:00:00"/>
    <x v="0"/>
    <s v="Morning"/>
    <s v="OP_D"/>
    <s v="M301"/>
    <s v="B1640"/>
    <n v="10.0259"/>
  </r>
  <r>
    <d v="2026-01-13T00:00:00"/>
    <x v="0"/>
    <s v="Morning"/>
    <s v="OP_C"/>
    <s v="M301"/>
    <s v="B1641"/>
    <n v="9.9966000000000008"/>
  </r>
  <r>
    <d v="2026-01-13T00:00:00"/>
    <x v="2"/>
    <s v="Afternoon"/>
    <s v="OP_C"/>
    <s v="M201"/>
    <s v="B1642"/>
    <n v="9.9937000000000005"/>
  </r>
  <r>
    <d v="2026-01-13T00:00:00"/>
    <x v="1"/>
    <s v="Afternoon"/>
    <s v="OP_B"/>
    <s v="M202"/>
    <s v="B1643"/>
    <n v="10.0373"/>
  </r>
  <r>
    <d v="2026-01-13T00:00:00"/>
    <x v="2"/>
    <s v="Afternoon"/>
    <s v="OP_B"/>
    <s v="M201"/>
    <s v="B1644"/>
    <n v="10.0246"/>
  </r>
  <r>
    <d v="2026-01-13T00:00:00"/>
    <x v="2"/>
    <s v="Morning"/>
    <s v="OP_B"/>
    <s v="M201"/>
    <s v="B1645"/>
    <n v="9.9863"/>
  </r>
  <r>
    <d v="2026-01-13T00:00:00"/>
    <x v="0"/>
    <s v="Afternoon"/>
    <s v="OP_C"/>
    <s v="M301"/>
    <s v="B1646"/>
    <n v="9.9755000000000003"/>
  </r>
  <r>
    <d v="2026-01-13T00:00:00"/>
    <x v="2"/>
    <s v="Afternoon"/>
    <s v="OP_C"/>
    <s v="M101"/>
    <s v="B1647"/>
    <n v="10.01"/>
  </r>
  <r>
    <d v="2026-01-13T00:00:00"/>
    <x v="0"/>
    <s v="Night"/>
    <s v="OP_B"/>
    <s v="M301"/>
    <s v="B1648"/>
    <n v="10.013400000000001"/>
  </r>
  <r>
    <d v="2026-01-13T00:00:00"/>
    <x v="1"/>
    <s v="Night"/>
    <s v="OP_B"/>
    <s v="M102"/>
    <s v="B1649"/>
    <n v="10.0633"/>
  </r>
  <r>
    <d v="2026-01-14T00:00:00"/>
    <x v="2"/>
    <s v="Afternoon"/>
    <s v="OP_D"/>
    <s v="M201"/>
    <s v="B1650"/>
    <n v="10.0024"/>
  </r>
  <r>
    <d v="2026-01-14T00:00:00"/>
    <x v="1"/>
    <s v="Night"/>
    <s v="OP_A"/>
    <s v="M201"/>
    <s v="B1651"/>
    <n v="10.021800000000001"/>
  </r>
  <r>
    <d v="2026-01-14T00:00:00"/>
    <x v="2"/>
    <s v="Night"/>
    <s v="OP_C"/>
    <s v="M202"/>
    <s v="B1652"/>
    <n v="10.0015"/>
  </r>
  <r>
    <d v="2026-01-14T00:00:00"/>
    <x v="1"/>
    <s v="Afternoon"/>
    <s v="OP_D"/>
    <s v="M101"/>
    <s v="B1653"/>
    <n v="10.0221"/>
  </r>
  <r>
    <d v="2026-01-14T00:00:00"/>
    <x v="2"/>
    <s v="Night"/>
    <s v="OP_C"/>
    <s v="M101"/>
    <s v="B1654"/>
    <n v="9.9986999999999995"/>
  </r>
  <r>
    <d v="2026-01-14T00:00:00"/>
    <x v="0"/>
    <s v="Night"/>
    <s v="OP_C"/>
    <s v="M102"/>
    <s v="B1655"/>
    <n v="9.9852000000000007"/>
  </r>
  <r>
    <d v="2026-01-14T00:00:00"/>
    <x v="0"/>
    <s v="Night"/>
    <s v="OP_A"/>
    <s v="M301"/>
    <s v="B1656"/>
    <n v="10.016"/>
  </r>
  <r>
    <d v="2026-01-14T00:00:00"/>
    <x v="1"/>
    <s v="Night"/>
    <s v="OP_B"/>
    <s v="M301"/>
    <s v="B1657"/>
    <n v="9.9962"/>
  </r>
  <r>
    <d v="2026-01-14T00:00:00"/>
    <x v="1"/>
    <s v="Morning"/>
    <s v="OP_C"/>
    <s v="M101"/>
    <s v="B1658"/>
    <n v="10.005000000000001"/>
  </r>
  <r>
    <d v="2026-01-14T00:00:00"/>
    <x v="0"/>
    <s v="Night"/>
    <s v="OP_B"/>
    <s v="M102"/>
    <s v="B1659"/>
    <n v="9.9894999999999996"/>
  </r>
  <r>
    <d v="2026-01-14T00:00:00"/>
    <x v="0"/>
    <s v="Morning"/>
    <s v="OP_A"/>
    <s v="M101"/>
    <s v="B1660"/>
    <n v="9.9893000000000001"/>
  </r>
  <r>
    <d v="2026-01-14T00:00:00"/>
    <x v="2"/>
    <s v="Night"/>
    <s v="OP_D"/>
    <s v="M101"/>
    <s v="B1661"/>
    <n v="9.9534000000000002"/>
  </r>
  <r>
    <d v="2026-01-14T00:00:00"/>
    <x v="1"/>
    <s v="Afternoon"/>
    <s v="OP_B"/>
    <s v="M101"/>
    <s v="B1662"/>
    <n v="10.022600000000001"/>
  </r>
  <r>
    <d v="2026-01-14T00:00:00"/>
    <x v="2"/>
    <s v="Afternoon"/>
    <s v="OP_D"/>
    <s v="M101"/>
    <s v="B1663"/>
    <n v="9.9780999999999995"/>
  </r>
  <r>
    <d v="2026-01-14T00:00:00"/>
    <x v="0"/>
    <s v="Night"/>
    <s v="OP_C"/>
    <s v="M201"/>
    <s v="B1664"/>
    <n v="10.002599999999999"/>
  </r>
  <r>
    <d v="2026-01-14T00:00:00"/>
    <x v="2"/>
    <s v="Night"/>
    <s v="OP_A"/>
    <s v="M202"/>
    <s v="B1665"/>
    <n v="10.0067"/>
  </r>
  <r>
    <d v="2026-01-14T00:00:00"/>
    <x v="2"/>
    <s v="Afternoon"/>
    <s v="OP_B"/>
    <s v="M201"/>
    <s v="B1666"/>
    <n v="9.9923999999999999"/>
  </r>
  <r>
    <d v="2026-01-14T00:00:00"/>
    <x v="1"/>
    <s v="Night"/>
    <s v="OP_C"/>
    <s v="M102"/>
    <s v="B1667"/>
    <n v="9.9969000000000001"/>
  </r>
  <r>
    <d v="2026-01-14T00:00:00"/>
    <x v="2"/>
    <s v="Night"/>
    <s v="OP_D"/>
    <s v="M301"/>
    <s v="B1668"/>
    <n v="9.9530999999999992"/>
  </r>
  <r>
    <d v="2026-01-14T00:00:00"/>
    <x v="0"/>
    <s v="Night"/>
    <s v="OP_A"/>
    <s v="M201"/>
    <s v="B1669"/>
    <n v="10.004899999999999"/>
  </r>
  <r>
    <d v="2026-01-14T00:00:00"/>
    <x v="1"/>
    <s v="Morning"/>
    <s v="OP_C"/>
    <s v="M102"/>
    <s v="B1670"/>
    <n v="10.0221"/>
  </r>
  <r>
    <d v="2026-01-14T00:00:00"/>
    <x v="2"/>
    <s v="Night"/>
    <s v="OP_D"/>
    <s v="M301"/>
    <s v="B1671"/>
    <n v="9.9822000000000006"/>
  </r>
  <r>
    <d v="2026-01-14T00:00:00"/>
    <x v="2"/>
    <s v="Morning"/>
    <s v="OP_A"/>
    <s v="M101"/>
    <s v="B1672"/>
    <n v="10.020099999999999"/>
  </r>
  <r>
    <d v="2026-01-14T00:00:00"/>
    <x v="2"/>
    <s v="Morning"/>
    <s v="OP_C"/>
    <s v="M102"/>
    <s v="B1673"/>
    <n v="10.007400000000001"/>
  </r>
  <r>
    <d v="2026-01-14T00:00:00"/>
    <x v="0"/>
    <s v="Morning"/>
    <s v="OP_A"/>
    <s v="M102"/>
    <s v="B1674"/>
    <n v="9.9890000000000008"/>
  </r>
  <r>
    <d v="2026-01-14T00:00:00"/>
    <x v="0"/>
    <s v="Night"/>
    <s v="OP_C"/>
    <s v="M201"/>
    <s v="B1675"/>
    <n v="9.9901"/>
  </r>
  <r>
    <d v="2026-01-14T00:00:00"/>
    <x v="1"/>
    <s v="Morning"/>
    <s v="OP_D"/>
    <s v="M102"/>
    <s v="B1676"/>
    <n v="10.031000000000001"/>
  </r>
  <r>
    <d v="2026-01-14T00:00:00"/>
    <x v="2"/>
    <s v="Afternoon"/>
    <s v="OP_D"/>
    <s v="M102"/>
    <s v="B1677"/>
    <n v="9.9588999999999999"/>
  </r>
  <r>
    <d v="2026-01-14T00:00:00"/>
    <x v="1"/>
    <s v="Night"/>
    <s v="OP_A"/>
    <s v="M301"/>
    <s v="B1678"/>
    <n v="10.0436"/>
  </r>
  <r>
    <d v="2026-01-14T00:00:00"/>
    <x v="2"/>
    <s v="Afternoon"/>
    <s v="OP_B"/>
    <s v="M102"/>
    <s v="B1679"/>
    <n v="9.9778000000000002"/>
  </r>
  <r>
    <d v="2026-01-14T00:00:00"/>
    <x v="0"/>
    <s v="Morning"/>
    <s v="OP_A"/>
    <s v="M301"/>
    <s v="B1680"/>
    <n v="10.0037"/>
  </r>
  <r>
    <d v="2026-01-14T00:00:00"/>
    <x v="0"/>
    <s v="Afternoon"/>
    <s v="OP_B"/>
    <s v="M101"/>
    <s v="B1681"/>
    <n v="9.9916999999999998"/>
  </r>
  <r>
    <d v="2026-01-14T00:00:00"/>
    <x v="0"/>
    <s v="Morning"/>
    <s v="OP_C"/>
    <s v="M102"/>
    <s v="B1682"/>
    <n v="10.020099999999999"/>
  </r>
  <r>
    <d v="2026-01-14T00:00:00"/>
    <x v="2"/>
    <s v="Morning"/>
    <s v="OP_B"/>
    <s v="M101"/>
    <s v="B1683"/>
    <n v="9.9846000000000004"/>
  </r>
  <r>
    <d v="2026-01-14T00:00:00"/>
    <x v="2"/>
    <s v="Morning"/>
    <s v="OP_D"/>
    <s v="M301"/>
    <s v="B1684"/>
    <n v="9.9925999999999995"/>
  </r>
  <r>
    <d v="2026-01-14T00:00:00"/>
    <x v="0"/>
    <s v="Night"/>
    <s v="OP_D"/>
    <s v="M301"/>
    <s v="B1685"/>
    <n v="10.013999999999999"/>
  </r>
  <r>
    <d v="2026-01-14T00:00:00"/>
    <x v="2"/>
    <s v="Afternoon"/>
    <s v="OP_B"/>
    <s v="M101"/>
    <s v="B1686"/>
    <n v="10.007"/>
  </r>
  <r>
    <d v="2026-01-14T00:00:00"/>
    <x v="0"/>
    <s v="Night"/>
    <s v="OP_D"/>
    <s v="M202"/>
    <s v="B1687"/>
    <n v="10.016400000000001"/>
  </r>
  <r>
    <d v="2026-01-14T00:00:00"/>
    <x v="1"/>
    <s v="Afternoon"/>
    <s v="OP_C"/>
    <s v="M202"/>
    <s v="B1688"/>
    <n v="9.9727999999999994"/>
  </r>
  <r>
    <d v="2026-01-14T00:00:00"/>
    <x v="2"/>
    <s v="Morning"/>
    <s v="OP_B"/>
    <s v="M102"/>
    <s v="B1689"/>
    <n v="9.984"/>
  </r>
  <r>
    <d v="2026-01-14T00:00:00"/>
    <x v="1"/>
    <s v="Morning"/>
    <s v="OP_A"/>
    <s v="M101"/>
    <s v="B1690"/>
    <n v="9.9786999999999999"/>
  </r>
  <r>
    <d v="2026-01-14T00:00:00"/>
    <x v="2"/>
    <s v="Night"/>
    <s v="OP_B"/>
    <s v="M301"/>
    <s v="B1691"/>
    <n v="9.9992000000000001"/>
  </r>
  <r>
    <d v="2026-01-14T00:00:00"/>
    <x v="0"/>
    <s v="Morning"/>
    <s v="OP_C"/>
    <s v="M102"/>
    <s v="B1692"/>
    <n v="9.9680999999999997"/>
  </r>
  <r>
    <d v="2026-01-14T00:00:00"/>
    <x v="2"/>
    <s v="Morning"/>
    <s v="OP_B"/>
    <s v="M101"/>
    <s v="B1693"/>
    <n v="9.9887999999999995"/>
  </r>
  <r>
    <d v="2026-01-14T00:00:00"/>
    <x v="2"/>
    <s v="Afternoon"/>
    <s v="OP_C"/>
    <s v="M202"/>
    <s v="B1694"/>
    <n v="10.0137"/>
  </r>
  <r>
    <d v="2026-01-14T00:00:00"/>
    <x v="0"/>
    <s v="Night"/>
    <s v="OP_A"/>
    <s v="M301"/>
    <s v="B1695"/>
    <n v="9.9984999999999999"/>
  </r>
  <r>
    <d v="2026-01-14T00:00:00"/>
    <x v="1"/>
    <s v="Night"/>
    <s v="OP_C"/>
    <s v="M101"/>
    <s v="B1696"/>
    <n v="10.073600000000001"/>
  </r>
  <r>
    <d v="2026-01-14T00:00:00"/>
    <x v="0"/>
    <s v="Night"/>
    <s v="OP_D"/>
    <s v="M102"/>
    <s v="B1697"/>
    <n v="10.0214"/>
  </r>
  <r>
    <d v="2026-01-14T00:00:00"/>
    <x v="0"/>
    <s v="Afternoon"/>
    <s v="OP_C"/>
    <s v="M201"/>
    <s v="B1698"/>
    <n v="9.9906000000000006"/>
  </r>
  <r>
    <d v="2026-01-14T00:00:00"/>
    <x v="1"/>
    <s v="Afternoon"/>
    <s v="OP_C"/>
    <s v="M301"/>
    <s v="B1699"/>
    <n v="10.112399999999999"/>
  </r>
  <r>
    <d v="2026-01-15T00:00:00"/>
    <x v="2"/>
    <s v="Morning"/>
    <s v="OP_C"/>
    <s v="M301"/>
    <s v="B1700"/>
    <n v="9.9923999999999999"/>
  </r>
  <r>
    <d v="2026-01-15T00:00:00"/>
    <x v="0"/>
    <s v="Night"/>
    <s v="OP_A"/>
    <s v="M102"/>
    <s v="B1701"/>
    <n v="9.9722000000000008"/>
  </r>
  <r>
    <d v="2026-01-15T00:00:00"/>
    <x v="0"/>
    <s v="Night"/>
    <s v="OP_C"/>
    <s v="M102"/>
    <s v="B1702"/>
    <n v="9.9898000000000007"/>
  </r>
  <r>
    <d v="2026-01-15T00:00:00"/>
    <x v="0"/>
    <s v="Night"/>
    <s v="OP_A"/>
    <s v="M301"/>
    <s v="B1703"/>
    <n v="9.9981000000000009"/>
  </r>
  <r>
    <d v="2026-01-15T00:00:00"/>
    <x v="1"/>
    <s v="Night"/>
    <s v="OP_B"/>
    <s v="M102"/>
    <s v="B1704"/>
    <n v="10.030200000000001"/>
  </r>
  <r>
    <d v="2026-01-15T00:00:00"/>
    <x v="2"/>
    <s v="Morning"/>
    <s v="OP_A"/>
    <s v="M201"/>
    <s v="B1705"/>
    <n v="9.9667999999999992"/>
  </r>
  <r>
    <d v="2026-01-15T00:00:00"/>
    <x v="2"/>
    <s v="Morning"/>
    <s v="OP_A"/>
    <s v="M301"/>
    <s v="B1706"/>
    <n v="9.9877000000000002"/>
  </r>
  <r>
    <d v="2026-01-15T00:00:00"/>
    <x v="0"/>
    <s v="Afternoon"/>
    <s v="OP_A"/>
    <s v="M202"/>
    <s v="B1707"/>
    <n v="10.0181"/>
  </r>
  <r>
    <d v="2026-01-15T00:00:00"/>
    <x v="0"/>
    <s v="Afternoon"/>
    <s v="OP_B"/>
    <s v="M202"/>
    <s v="B1708"/>
    <n v="9.9893000000000001"/>
  </r>
  <r>
    <d v="2026-01-15T00:00:00"/>
    <x v="1"/>
    <s v="Morning"/>
    <s v="OP_C"/>
    <s v="M202"/>
    <s v="B1709"/>
    <n v="10.0517"/>
  </r>
  <r>
    <d v="2026-01-15T00:00:00"/>
    <x v="0"/>
    <s v="Night"/>
    <s v="OP_C"/>
    <s v="M202"/>
    <s v="B1710"/>
    <n v="10.0274"/>
  </r>
  <r>
    <d v="2026-01-15T00:00:00"/>
    <x v="1"/>
    <s v="Afternoon"/>
    <s v="OP_D"/>
    <s v="M202"/>
    <s v="B1711"/>
    <n v="10.020300000000001"/>
  </r>
  <r>
    <d v="2026-01-15T00:00:00"/>
    <x v="2"/>
    <s v="Morning"/>
    <s v="OP_C"/>
    <s v="M201"/>
    <s v="B1712"/>
    <n v="9.9540000000000006"/>
  </r>
  <r>
    <d v="2026-01-15T00:00:00"/>
    <x v="1"/>
    <s v="Morning"/>
    <s v="OP_D"/>
    <s v="M202"/>
    <s v="B1713"/>
    <n v="10.020799999999999"/>
  </r>
  <r>
    <d v="2026-01-15T00:00:00"/>
    <x v="1"/>
    <s v="Afternoon"/>
    <s v="OP_A"/>
    <s v="M101"/>
    <s v="B1714"/>
    <n v="10.0067"/>
  </r>
  <r>
    <d v="2026-01-15T00:00:00"/>
    <x v="0"/>
    <s v="Night"/>
    <s v="OP_A"/>
    <s v="M301"/>
    <s v="B1715"/>
    <n v="10.001099999999999"/>
  </r>
  <r>
    <d v="2026-01-15T00:00:00"/>
    <x v="1"/>
    <s v="Afternoon"/>
    <s v="OP_A"/>
    <s v="M202"/>
    <s v="B1716"/>
    <n v="9.9662000000000006"/>
  </r>
  <r>
    <d v="2026-01-15T00:00:00"/>
    <x v="1"/>
    <s v="Morning"/>
    <s v="OP_D"/>
    <s v="M301"/>
    <s v="B1717"/>
    <n v="10.033099999999999"/>
  </r>
  <r>
    <d v="2026-01-15T00:00:00"/>
    <x v="1"/>
    <s v="Night"/>
    <s v="OP_B"/>
    <s v="M301"/>
    <s v="B1718"/>
    <n v="10.022"/>
  </r>
  <r>
    <d v="2026-01-15T00:00:00"/>
    <x v="0"/>
    <s v="Afternoon"/>
    <s v="OP_A"/>
    <s v="M301"/>
    <s v="B1719"/>
    <n v="10.026899999999999"/>
  </r>
  <r>
    <d v="2026-01-15T00:00:00"/>
    <x v="1"/>
    <s v="Afternoon"/>
    <s v="OP_A"/>
    <s v="M102"/>
    <s v="B1720"/>
    <n v="10.019600000000001"/>
  </r>
  <r>
    <d v="2026-01-15T00:00:00"/>
    <x v="2"/>
    <s v="Night"/>
    <s v="OP_A"/>
    <s v="M102"/>
    <s v="B1721"/>
    <n v="10.0009"/>
  </r>
  <r>
    <d v="2026-01-15T00:00:00"/>
    <x v="0"/>
    <s v="Morning"/>
    <s v="OP_C"/>
    <s v="M301"/>
    <s v="B1722"/>
    <n v="9.9792000000000005"/>
  </r>
  <r>
    <d v="2026-01-15T00:00:00"/>
    <x v="2"/>
    <s v="Morning"/>
    <s v="OP_D"/>
    <s v="M201"/>
    <s v="B1723"/>
    <n v="10.013400000000001"/>
  </r>
  <r>
    <d v="2026-01-15T00:00:00"/>
    <x v="1"/>
    <s v="Afternoon"/>
    <s v="OP_C"/>
    <s v="M202"/>
    <s v="B1724"/>
    <n v="10.0273"/>
  </r>
  <r>
    <d v="2026-01-15T00:00:00"/>
    <x v="0"/>
    <s v="Morning"/>
    <s v="OP_B"/>
    <s v="M202"/>
    <s v="B1725"/>
    <n v="10.017200000000001"/>
  </r>
  <r>
    <d v="2026-01-15T00:00:00"/>
    <x v="0"/>
    <s v="Night"/>
    <s v="OP_B"/>
    <s v="M301"/>
    <s v="B1726"/>
    <n v="9.9978999999999996"/>
  </r>
  <r>
    <d v="2026-01-15T00:00:00"/>
    <x v="2"/>
    <s v="Afternoon"/>
    <s v="OP_B"/>
    <s v="M301"/>
    <s v="B1727"/>
    <n v="9.9789999999999992"/>
  </r>
  <r>
    <d v="2026-01-15T00:00:00"/>
    <x v="0"/>
    <s v="Afternoon"/>
    <s v="OP_D"/>
    <s v="M101"/>
    <s v="B1728"/>
    <n v="10.021800000000001"/>
  </r>
  <r>
    <d v="2026-01-15T00:00:00"/>
    <x v="1"/>
    <s v="Night"/>
    <s v="OP_A"/>
    <s v="M301"/>
    <s v="B1729"/>
    <n v="10.052300000000001"/>
  </r>
  <r>
    <d v="2026-01-15T00:00:00"/>
    <x v="0"/>
    <s v="Morning"/>
    <s v="OP_D"/>
    <s v="M101"/>
    <s v="B1730"/>
    <n v="9.9855999999999998"/>
  </r>
  <r>
    <d v="2026-01-15T00:00:00"/>
    <x v="2"/>
    <s v="Morning"/>
    <s v="OP_D"/>
    <s v="M301"/>
    <s v="B1731"/>
    <n v="10.0076"/>
  </r>
  <r>
    <d v="2026-01-15T00:00:00"/>
    <x v="2"/>
    <s v="Morning"/>
    <s v="OP_C"/>
    <s v="M201"/>
    <s v="B1732"/>
    <n v="10.010899999999999"/>
  </r>
  <r>
    <d v="2026-01-15T00:00:00"/>
    <x v="1"/>
    <s v="Afternoon"/>
    <s v="OP_D"/>
    <s v="M301"/>
    <s v="B1733"/>
    <n v="9.9954000000000001"/>
  </r>
  <r>
    <d v="2026-01-15T00:00:00"/>
    <x v="1"/>
    <s v="Afternoon"/>
    <s v="OP_B"/>
    <s v="M301"/>
    <s v="B1734"/>
    <n v="10.008699999999999"/>
  </r>
  <r>
    <d v="2026-01-15T00:00:00"/>
    <x v="1"/>
    <s v="Night"/>
    <s v="OP_B"/>
    <s v="M101"/>
    <s v="B1735"/>
    <n v="10.0031"/>
  </r>
  <r>
    <d v="2026-01-15T00:00:00"/>
    <x v="0"/>
    <s v="Night"/>
    <s v="OP_C"/>
    <s v="M201"/>
    <s v="B1736"/>
    <n v="9.9941999999999993"/>
  </r>
  <r>
    <d v="2026-01-15T00:00:00"/>
    <x v="0"/>
    <s v="Afternoon"/>
    <s v="OP_B"/>
    <s v="M101"/>
    <s v="B1737"/>
    <n v="10.000999999999999"/>
  </r>
  <r>
    <d v="2026-01-15T00:00:00"/>
    <x v="1"/>
    <s v="Afternoon"/>
    <s v="OP_B"/>
    <s v="M102"/>
    <s v="B1738"/>
    <n v="10.0596"/>
  </r>
  <r>
    <d v="2026-01-15T00:00:00"/>
    <x v="0"/>
    <s v="Afternoon"/>
    <s v="OP_D"/>
    <s v="M102"/>
    <s v="B1739"/>
    <n v="9.9748000000000001"/>
  </r>
  <r>
    <d v="2026-01-15T00:00:00"/>
    <x v="0"/>
    <s v="Night"/>
    <s v="OP_D"/>
    <s v="M201"/>
    <s v="B1740"/>
    <n v="9.9991000000000003"/>
  </r>
  <r>
    <d v="2026-01-15T00:00:00"/>
    <x v="0"/>
    <s v="Afternoon"/>
    <s v="OP_C"/>
    <s v="M201"/>
    <s v="B1741"/>
    <n v="9.9846000000000004"/>
  </r>
  <r>
    <d v="2026-01-15T00:00:00"/>
    <x v="1"/>
    <s v="Night"/>
    <s v="OP_D"/>
    <s v="M201"/>
    <s v="B1742"/>
    <n v="10.022600000000001"/>
  </r>
  <r>
    <d v="2026-01-15T00:00:00"/>
    <x v="0"/>
    <s v="Afternoon"/>
    <s v="OP_C"/>
    <s v="M101"/>
    <s v="B1743"/>
    <n v="10.0024"/>
  </r>
  <r>
    <d v="2026-01-15T00:00:00"/>
    <x v="2"/>
    <s v="Afternoon"/>
    <s v="OP_D"/>
    <s v="M101"/>
    <s v="B1744"/>
    <n v="10.004300000000001"/>
  </r>
  <r>
    <d v="2026-01-15T00:00:00"/>
    <x v="1"/>
    <s v="Afternoon"/>
    <s v="OP_A"/>
    <s v="M201"/>
    <s v="B1745"/>
    <n v="10.0029"/>
  </r>
  <r>
    <d v="2026-01-15T00:00:00"/>
    <x v="1"/>
    <s v="Morning"/>
    <s v="OP_B"/>
    <s v="M102"/>
    <s v="B1746"/>
    <n v="10.0159"/>
  </r>
  <r>
    <d v="2026-01-15T00:00:00"/>
    <x v="2"/>
    <s v="Night"/>
    <s v="OP_A"/>
    <s v="M101"/>
    <s v="B1747"/>
    <n v="10.026300000000001"/>
  </r>
  <r>
    <d v="2026-01-15T00:00:00"/>
    <x v="1"/>
    <s v="Afternoon"/>
    <s v="OP_D"/>
    <s v="M102"/>
    <s v="B1748"/>
    <n v="10.0223"/>
  </r>
  <r>
    <d v="2026-01-15T00:00:00"/>
    <x v="2"/>
    <s v="Night"/>
    <s v="OP_C"/>
    <s v="M201"/>
    <s v="B1749"/>
    <n v="10.0251"/>
  </r>
  <r>
    <d v="2026-01-16T00:00:00"/>
    <x v="0"/>
    <s v="Afternoon"/>
    <s v="OP_C"/>
    <s v="M101"/>
    <s v="B1750"/>
    <n v="9.9926999999999992"/>
  </r>
  <r>
    <d v="2026-01-16T00:00:00"/>
    <x v="0"/>
    <s v="Morning"/>
    <s v="OP_D"/>
    <s v="M201"/>
    <s v="B1751"/>
    <n v="9.9982000000000006"/>
  </r>
  <r>
    <d v="2026-01-16T00:00:00"/>
    <x v="0"/>
    <s v="Morning"/>
    <s v="OP_B"/>
    <s v="M301"/>
    <s v="B1752"/>
    <n v="10.0009"/>
  </r>
  <r>
    <d v="2026-01-16T00:00:00"/>
    <x v="2"/>
    <s v="Night"/>
    <s v="OP_D"/>
    <s v="M201"/>
    <s v="B1753"/>
    <n v="9.9841999999999995"/>
  </r>
  <r>
    <d v="2026-01-16T00:00:00"/>
    <x v="2"/>
    <s v="Morning"/>
    <s v="OP_A"/>
    <s v="M201"/>
    <s v="B1754"/>
    <n v="9.9896999999999991"/>
  </r>
  <r>
    <d v="2026-01-16T00:00:00"/>
    <x v="0"/>
    <s v="Morning"/>
    <s v="OP_C"/>
    <s v="M101"/>
    <s v="B1755"/>
    <n v="9.9923000000000002"/>
  </r>
  <r>
    <d v="2026-01-16T00:00:00"/>
    <x v="0"/>
    <s v="Morning"/>
    <s v="OP_B"/>
    <s v="M201"/>
    <s v="B1756"/>
    <n v="9.9995999999999992"/>
  </r>
  <r>
    <d v="2026-01-16T00:00:00"/>
    <x v="2"/>
    <s v="Afternoon"/>
    <s v="OP_D"/>
    <s v="M101"/>
    <s v="B1757"/>
    <n v="10.035399999999999"/>
  </r>
  <r>
    <d v="2026-01-16T00:00:00"/>
    <x v="2"/>
    <s v="Night"/>
    <s v="OP_B"/>
    <s v="M202"/>
    <s v="B1758"/>
    <n v="10.012700000000001"/>
  </r>
  <r>
    <d v="2026-01-16T00:00:00"/>
    <x v="0"/>
    <s v="Night"/>
    <s v="OP_D"/>
    <s v="M201"/>
    <s v="B1759"/>
    <n v="10.0136"/>
  </r>
  <r>
    <d v="2026-01-16T00:00:00"/>
    <x v="2"/>
    <s v="Night"/>
    <s v="OP_A"/>
    <s v="M301"/>
    <s v="B1760"/>
    <n v="9.9816000000000003"/>
  </r>
  <r>
    <d v="2026-01-16T00:00:00"/>
    <x v="1"/>
    <s v="Morning"/>
    <s v="OP_C"/>
    <s v="M301"/>
    <s v="B1761"/>
    <n v="10.0764"/>
  </r>
  <r>
    <d v="2026-01-16T00:00:00"/>
    <x v="1"/>
    <s v="Night"/>
    <s v="OP_C"/>
    <s v="M201"/>
    <s v="B1762"/>
    <n v="10.028"/>
  </r>
  <r>
    <d v="2026-01-16T00:00:00"/>
    <x v="0"/>
    <s v="Night"/>
    <s v="OP_D"/>
    <s v="M201"/>
    <s v="B1763"/>
    <n v="10.0328"/>
  </r>
  <r>
    <d v="2026-01-16T00:00:00"/>
    <x v="2"/>
    <s v="Morning"/>
    <s v="OP_B"/>
    <s v="M301"/>
    <s v="B1764"/>
    <n v="10.020200000000001"/>
  </r>
  <r>
    <d v="2026-01-16T00:00:00"/>
    <x v="2"/>
    <s v="Night"/>
    <s v="OP_B"/>
    <s v="M301"/>
    <s v="B1765"/>
    <n v="10.0078"/>
  </r>
  <r>
    <d v="2026-01-16T00:00:00"/>
    <x v="0"/>
    <s v="Afternoon"/>
    <s v="OP_D"/>
    <s v="M102"/>
    <s v="B1766"/>
    <n v="9.9670000000000005"/>
  </r>
  <r>
    <d v="2026-01-16T00:00:00"/>
    <x v="2"/>
    <s v="Night"/>
    <s v="OP_C"/>
    <s v="M301"/>
    <s v="B1767"/>
    <n v="10.0334"/>
  </r>
  <r>
    <d v="2026-01-16T00:00:00"/>
    <x v="1"/>
    <s v="Afternoon"/>
    <s v="OP_A"/>
    <s v="M101"/>
    <s v="B1768"/>
    <n v="9.9530999999999992"/>
  </r>
  <r>
    <d v="2026-01-16T00:00:00"/>
    <x v="2"/>
    <s v="Morning"/>
    <s v="OP_D"/>
    <s v="M201"/>
    <s v="B1769"/>
    <n v="9.9720999999999993"/>
  </r>
  <r>
    <d v="2026-01-16T00:00:00"/>
    <x v="0"/>
    <s v="Night"/>
    <s v="OP_A"/>
    <s v="M202"/>
    <s v="B1770"/>
    <n v="9.9954000000000001"/>
  </r>
  <r>
    <d v="2026-01-16T00:00:00"/>
    <x v="0"/>
    <s v="Afternoon"/>
    <s v="OP_D"/>
    <s v="M101"/>
    <s v="B1771"/>
    <n v="9.9890000000000008"/>
  </r>
  <r>
    <d v="2026-01-16T00:00:00"/>
    <x v="0"/>
    <s v="Afternoon"/>
    <s v="OP_A"/>
    <s v="M102"/>
    <s v="B1772"/>
    <n v="9.9951000000000008"/>
  </r>
  <r>
    <d v="2026-01-16T00:00:00"/>
    <x v="0"/>
    <s v="Morning"/>
    <s v="OP_D"/>
    <s v="M201"/>
    <s v="B1773"/>
    <n v="9.9751999999999992"/>
  </r>
  <r>
    <d v="2026-01-16T00:00:00"/>
    <x v="1"/>
    <s v="Afternoon"/>
    <s v="OP_A"/>
    <s v="M101"/>
    <s v="B1774"/>
    <n v="9.9949999999999992"/>
  </r>
  <r>
    <d v="2026-01-16T00:00:00"/>
    <x v="1"/>
    <s v="Night"/>
    <s v="OP_A"/>
    <s v="M201"/>
    <s v="B1775"/>
    <n v="10.048500000000001"/>
  </r>
  <r>
    <d v="2026-01-16T00:00:00"/>
    <x v="0"/>
    <s v="Night"/>
    <s v="OP_C"/>
    <s v="M101"/>
    <s v="B1776"/>
    <n v="9.9921000000000006"/>
  </r>
  <r>
    <d v="2026-01-16T00:00:00"/>
    <x v="0"/>
    <s v="Morning"/>
    <s v="OP_B"/>
    <s v="M201"/>
    <s v="B1777"/>
    <n v="10.0038"/>
  </r>
  <r>
    <d v="2026-01-16T00:00:00"/>
    <x v="2"/>
    <s v="Morning"/>
    <s v="OP_B"/>
    <s v="M301"/>
    <s v="B1778"/>
    <n v="9.9944000000000006"/>
  </r>
  <r>
    <d v="2026-01-16T00:00:00"/>
    <x v="1"/>
    <s v="Morning"/>
    <s v="OP_C"/>
    <s v="M102"/>
    <s v="B1779"/>
    <n v="10.010199999999999"/>
  </r>
  <r>
    <d v="2026-01-16T00:00:00"/>
    <x v="0"/>
    <s v="Afternoon"/>
    <s v="OP_C"/>
    <s v="M102"/>
    <s v="B1780"/>
    <n v="10.015700000000001"/>
  </r>
  <r>
    <d v="2026-01-16T00:00:00"/>
    <x v="0"/>
    <s v="Morning"/>
    <s v="OP_A"/>
    <s v="M202"/>
    <s v="B1781"/>
    <n v="9.9970999999999997"/>
  </r>
  <r>
    <d v="2026-01-16T00:00:00"/>
    <x v="1"/>
    <s v="Night"/>
    <s v="OP_C"/>
    <s v="M301"/>
    <s v="B1782"/>
    <n v="9.9749999999999996"/>
  </r>
  <r>
    <d v="2026-01-16T00:00:00"/>
    <x v="0"/>
    <s v="Night"/>
    <s v="OP_D"/>
    <s v="M202"/>
    <s v="B1783"/>
    <n v="9.9963999999999995"/>
  </r>
  <r>
    <d v="2026-01-16T00:00:00"/>
    <x v="0"/>
    <s v="Night"/>
    <s v="OP_A"/>
    <s v="M301"/>
    <s v="B1784"/>
    <n v="10.028"/>
  </r>
  <r>
    <d v="2026-01-16T00:00:00"/>
    <x v="2"/>
    <s v="Night"/>
    <s v="OP_A"/>
    <s v="M301"/>
    <s v="B1785"/>
    <n v="9.9875000000000007"/>
  </r>
  <r>
    <d v="2026-01-16T00:00:00"/>
    <x v="2"/>
    <s v="Night"/>
    <s v="OP_D"/>
    <s v="M102"/>
    <s v="B1786"/>
    <n v="10.007099999999999"/>
  </r>
  <r>
    <d v="2026-01-16T00:00:00"/>
    <x v="2"/>
    <s v="Night"/>
    <s v="OP_C"/>
    <s v="M102"/>
    <s v="B1787"/>
    <n v="9.9847000000000001"/>
  </r>
  <r>
    <d v="2026-01-16T00:00:00"/>
    <x v="1"/>
    <s v="Afternoon"/>
    <s v="OP_D"/>
    <s v="M201"/>
    <s v="B1788"/>
    <n v="10.0406"/>
  </r>
  <r>
    <d v="2026-01-16T00:00:00"/>
    <x v="1"/>
    <s v="Morning"/>
    <s v="OP_C"/>
    <s v="M202"/>
    <s v="B1789"/>
    <n v="10.06"/>
  </r>
  <r>
    <d v="2026-01-16T00:00:00"/>
    <x v="2"/>
    <s v="Morning"/>
    <s v="OP_A"/>
    <s v="M201"/>
    <s v="B1790"/>
    <n v="9.9738000000000007"/>
  </r>
  <r>
    <d v="2026-01-16T00:00:00"/>
    <x v="0"/>
    <s v="Morning"/>
    <s v="OP_B"/>
    <s v="M201"/>
    <s v="B1791"/>
    <n v="9.9535"/>
  </r>
  <r>
    <d v="2026-01-16T00:00:00"/>
    <x v="2"/>
    <s v="Morning"/>
    <s v="OP_C"/>
    <s v="M202"/>
    <s v="B1792"/>
    <n v="10.0124"/>
  </r>
  <r>
    <d v="2026-01-16T00:00:00"/>
    <x v="2"/>
    <s v="Morning"/>
    <s v="OP_D"/>
    <s v="M201"/>
    <s v="B1793"/>
    <n v="9.9894999999999996"/>
  </r>
  <r>
    <d v="2026-01-16T00:00:00"/>
    <x v="1"/>
    <s v="Afternoon"/>
    <s v="OP_D"/>
    <s v="M202"/>
    <s v="B1794"/>
    <n v="10.0608"/>
  </r>
  <r>
    <d v="2026-01-16T00:00:00"/>
    <x v="0"/>
    <s v="Morning"/>
    <s v="OP_A"/>
    <s v="M301"/>
    <s v="B1795"/>
    <n v="10.004099999999999"/>
  </r>
  <r>
    <d v="2026-01-16T00:00:00"/>
    <x v="1"/>
    <s v="Afternoon"/>
    <s v="OP_C"/>
    <s v="M101"/>
    <s v="B1796"/>
    <n v="9.9901"/>
  </r>
  <r>
    <d v="2026-01-16T00:00:00"/>
    <x v="2"/>
    <s v="Morning"/>
    <s v="OP_D"/>
    <s v="M202"/>
    <s v="B1797"/>
    <n v="9.9880999999999993"/>
  </r>
  <r>
    <d v="2026-01-16T00:00:00"/>
    <x v="1"/>
    <s v="Afternoon"/>
    <s v="OP_D"/>
    <s v="M201"/>
    <s v="B1798"/>
    <n v="9.9944000000000006"/>
  </r>
  <r>
    <d v="2026-01-16T00:00:00"/>
    <x v="1"/>
    <s v="Morning"/>
    <s v="OP_C"/>
    <s v="M201"/>
    <s v="B1799"/>
    <n v="9.9882000000000009"/>
  </r>
  <r>
    <d v="2026-01-17T00:00:00"/>
    <x v="2"/>
    <s v="Morning"/>
    <s v="OP_C"/>
    <s v="M101"/>
    <s v="B1800"/>
    <n v="9.9769000000000005"/>
  </r>
  <r>
    <d v="2026-01-17T00:00:00"/>
    <x v="1"/>
    <s v="Morning"/>
    <s v="OP_C"/>
    <s v="M301"/>
    <s v="B1801"/>
    <n v="10.0433"/>
  </r>
  <r>
    <d v="2026-01-17T00:00:00"/>
    <x v="1"/>
    <s v="Afternoon"/>
    <s v="OP_D"/>
    <s v="M301"/>
    <s v="B1802"/>
    <n v="10.0372"/>
  </r>
  <r>
    <d v="2026-01-17T00:00:00"/>
    <x v="1"/>
    <s v="Morning"/>
    <s v="OP_A"/>
    <s v="M202"/>
    <s v="B1803"/>
    <n v="9.9944000000000006"/>
  </r>
  <r>
    <d v="2026-01-17T00:00:00"/>
    <x v="1"/>
    <s v="Afternoon"/>
    <s v="OP_C"/>
    <s v="M301"/>
    <s v="B1804"/>
    <n v="10.012700000000001"/>
  </r>
  <r>
    <d v="2026-01-17T00:00:00"/>
    <x v="1"/>
    <s v="Night"/>
    <s v="OP_A"/>
    <s v="M201"/>
    <s v="B1805"/>
    <n v="10.055999999999999"/>
  </r>
  <r>
    <d v="2026-01-17T00:00:00"/>
    <x v="2"/>
    <s v="Afternoon"/>
    <s v="OP_C"/>
    <s v="M202"/>
    <s v="B1806"/>
    <n v="10.0212"/>
  </r>
  <r>
    <d v="2026-01-17T00:00:00"/>
    <x v="2"/>
    <s v="Night"/>
    <s v="OP_A"/>
    <s v="M102"/>
    <s v="B1807"/>
    <n v="10.008800000000001"/>
  </r>
  <r>
    <d v="2026-01-17T00:00:00"/>
    <x v="0"/>
    <s v="Afternoon"/>
    <s v="OP_B"/>
    <s v="M201"/>
    <s v="B1808"/>
    <n v="10.0091"/>
  </r>
  <r>
    <d v="2026-01-17T00:00:00"/>
    <x v="1"/>
    <s v="Night"/>
    <s v="OP_D"/>
    <s v="M202"/>
    <s v="B1809"/>
    <n v="10.0388"/>
  </r>
  <r>
    <d v="2026-01-17T00:00:00"/>
    <x v="2"/>
    <s v="Afternoon"/>
    <s v="OP_D"/>
    <s v="M202"/>
    <s v="B1810"/>
    <n v="9.9723000000000006"/>
  </r>
  <r>
    <d v="2026-01-17T00:00:00"/>
    <x v="2"/>
    <s v="Afternoon"/>
    <s v="OP_D"/>
    <s v="M301"/>
    <s v="B1811"/>
    <n v="9.9992999999999999"/>
  </r>
  <r>
    <d v="2026-01-17T00:00:00"/>
    <x v="2"/>
    <s v="Morning"/>
    <s v="OP_C"/>
    <s v="M201"/>
    <s v="B1812"/>
    <n v="10.003500000000001"/>
  </r>
  <r>
    <d v="2026-01-17T00:00:00"/>
    <x v="2"/>
    <s v="Morning"/>
    <s v="OP_A"/>
    <s v="M301"/>
    <s v="B1813"/>
    <n v="10.0059"/>
  </r>
  <r>
    <d v="2026-01-17T00:00:00"/>
    <x v="1"/>
    <s v="Morning"/>
    <s v="OP_B"/>
    <s v="M102"/>
    <s v="B1814"/>
    <n v="10.053000000000001"/>
  </r>
  <r>
    <d v="2026-01-17T00:00:00"/>
    <x v="0"/>
    <s v="Morning"/>
    <s v="OP_A"/>
    <s v="M102"/>
    <s v="B1815"/>
    <n v="9.9997000000000007"/>
  </r>
  <r>
    <d v="2026-01-17T00:00:00"/>
    <x v="2"/>
    <s v="Afternoon"/>
    <s v="OP_B"/>
    <s v="M202"/>
    <s v="B1816"/>
    <n v="9.9846000000000004"/>
  </r>
  <r>
    <d v="2026-01-17T00:00:00"/>
    <x v="1"/>
    <s v="Morning"/>
    <s v="OP_B"/>
    <s v="M301"/>
    <s v="B1817"/>
    <n v="10.039199999999999"/>
  </r>
  <r>
    <d v="2026-01-17T00:00:00"/>
    <x v="0"/>
    <s v="Morning"/>
    <s v="OP_D"/>
    <s v="M201"/>
    <s v="B1818"/>
    <n v="10.034700000000001"/>
  </r>
  <r>
    <d v="2026-01-17T00:00:00"/>
    <x v="2"/>
    <s v="Morning"/>
    <s v="OP_A"/>
    <s v="M301"/>
    <s v="B1819"/>
    <n v="10.0251"/>
  </r>
  <r>
    <d v="2026-01-17T00:00:00"/>
    <x v="1"/>
    <s v="Morning"/>
    <s v="OP_B"/>
    <s v="M101"/>
    <s v="B1820"/>
    <n v="9.9957999999999991"/>
  </r>
  <r>
    <d v="2026-01-17T00:00:00"/>
    <x v="2"/>
    <s v="Morning"/>
    <s v="OP_B"/>
    <s v="M201"/>
    <s v="B1821"/>
    <n v="10.0136"/>
  </r>
  <r>
    <d v="2026-01-17T00:00:00"/>
    <x v="0"/>
    <s v="Morning"/>
    <s v="OP_D"/>
    <s v="M101"/>
    <s v="B1822"/>
    <n v="9.9710000000000001"/>
  </r>
  <r>
    <d v="2026-01-17T00:00:00"/>
    <x v="2"/>
    <s v="Night"/>
    <s v="OP_B"/>
    <s v="M301"/>
    <s v="B1823"/>
    <n v="9.9946000000000002"/>
  </r>
  <r>
    <d v="2026-01-17T00:00:00"/>
    <x v="2"/>
    <s v="Morning"/>
    <s v="OP_B"/>
    <s v="M101"/>
    <s v="B1824"/>
    <n v="9.9899000000000004"/>
  </r>
  <r>
    <d v="2026-01-17T00:00:00"/>
    <x v="1"/>
    <s v="Morning"/>
    <s v="OP_B"/>
    <s v="M301"/>
    <s v="B1825"/>
    <n v="10.0318"/>
  </r>
  <r>
    <d v="2026-01-17T00:00:00"/>
    <x v="1"/>
    <s v="Night"/>
    <s v="OP_D"/>
    <s v="M202"/>
    <s v="B1826"/>
    <n v="10.0319"/>
  </r>
  <r>
    <d v="2026-01-17T00:00:00"/>
    <x v="1"/>
    <s v="Morning"/>
    <s v="OP_C"/>
    <s v="M102"/>
    <s v="B1827"/>
    <n v="10.023999999999999"/>
  </r>
  <r>
    <d v="2026-01-17T00:00:00"/>
    <x v="2"/>
    <s v="Afternoon"/>
    <s v="OP_B"/>
    <s v="M202"/>
    <s v="B1828"/>
    <n v="9.9954999999999998"/>
  </r>
  <r>
    <d v="2026-01-17T00:00:00"/>
    <x v="0"/>
    <s v="Afternoon"/>
    <s v="OP_D"/>
    <s v="M102"/>
    <s v="B1829"/>
    <n v="9.9896999999999991"/>
  </r>
  <r>
    <d v="2026-01-17T00:00:00"/>
    <x v="2"/>
    <s v="Night"/>
    <s v="OP_C"/>
    <s v="M202"/>
    <s v="B1830"/>
    <n v="10.0139"/>
  </r>
  <r>
    <d v="2026-01-17T00:00:00"/>
    <x v="1"/>
    <s v="Morning"/>
    <s v="OP_B"/>
    <s v="M101"/>
    <s v="B1831"/>
    <n v="10.064"/>
  </r>
  <r>
    <d v="2026-01-17T00:00:00"/>
    <x v="1"/>
    <s v="Morning"/>
    <s v="OP_D"/>
    <s v="M202"/>
    <s v="B1832"/>
    <n v="9.9976000000000003"/>
  </r>
  <r>
    <d v="2026-01-17T00:00:00"/>
    <x v="0"/>
    <s v="Night"/>
    <s v="OP_C"/>
    <s v="M102"/>
    <s v="B1833"/>
    <n v="10.013400000000001"/>
  </r>
  <r>
    <d v="2026-01-17T00:00:00"/>
    <x v="1"/>
    <s v="Night"/>
    <s v="OP_A"/>
    <s v="M101"/>
    <s v="B1834"/>
    <n v="10.0037"/>
  </r>
  <r>
    <d v="2026-01-17T00:00:00"/>
    <x v="2"/>
    <s v="Afternoon"/>
    <s v="OP_B"/>
    <s v="M102"/>
    <s v="B1835"/>
    <n v="9.9982000000000006"/>
  </r>
  <r>
    <d v="2026-01-17T00:00:00"/>
    <x v="0"/>
    <s v="Night"/>
    <s v="OP_B"/>
    <s v="M201"/>
    <s v="B1836"/>
    <n v="10.007099999999999"/>
  </r>
  <r>
    <d v="2026-01-17T00:00:00"/>
    <x v="1"/>
    <s v="Night"/>
    <s v="OP_C"/>
    <s v="M301"/>
    <s v="B1837"/>
    <n v="10.0303"/>
  </r>
  <r>
    <d v="2026-01-17T00:00:00"/>
    <x v="0"/>
    <s v="Afternoon"/>
    <s v="OP_C"/>
    <s v="M202"/>
    <s v="B1838"/>
    <n v="10.0122"/>
  </r>
  <r>
    <d v="2026-01-17T00:00:00"/>
    <x v="2"/>
    <s v="Morning"/>
    <s v="OP_D"/>
    <s v="M201"/>
    <s v="B1839"/>
    <n v="10.0021"/>
  </r>
  <r>
    <d v="2026-01-17T00:00:00"/>
    <x v="0"/>
    <s v="Night"/>
    <s v="OP_B"/>
    <s v="M102"/>
    <s v="B1840"/>
    <n v="10.0197"/>
  </r>
  <r>
    <d v="2026-01-17T00:00:00"/>
    <x v="2"/>
    <s v="Afternoon"/>
    <s v="OP_B"/>
    <s v="M202"/>
    <s v="B1841"/>
    <n v="10.0238"/>
  </r>
  <r>
    <d v="2026-01-17T00:00:00"/>
    <x v="2"/>
    <s v="Night"/>
    <s v="OP_B"/>
    <s v="M101"/>
    <s v="B1842"/>
    <n v="10.0205"/>
  </r>
  <r>
    <d v="2026-01-17T00:00:00"/>
    <x v="0"/>
    <s v="Afternoon"/>
    <s v="OP_C"/>
    <s v="M301"/>
    <s v="B1843"/>
    <n v="10.005599999999999"/>
  </r>
  <r>
    <d v="2026-01-17T00:00:00"/>
    <x v="2"/>
    <s v="Morning"/>
    <s v="OP_B"/>
    <s v="M301"/>
    <s v="B1844"/>
    <n v="9.9613999999999994"/>
  </r>
  <r>
    <d v="2026-01-17T00:00:00"/>
    <x v="2"/>
    <s v="Night"/>
    <s v="OP_A"/>
    <s v="M101"/>
    <s v="B1845"/>
    <n v="10.0162"/>
  </r>
  <r>
    <d v="2026-01-17T00:00:00"/>
    <x v="0"/>
    <s v="Night"/>
    <s v="OP_B"/>
    <s v="M201"/>
    <s v="B1846"/>
    <n v="9.9786999999999999"/>
  </r>
  <r>
    <d v="2026-01-17T00:00:00"/>
    <x v="2"/>
    <s v="Night"/>
    <s v="OP_C"/>
    <s v="M201"/>
    <s v="B1847"/>
    <n v="9.9726999999999997"/>
  </r>
  <r>
    <d v="2026-01-17T00:00:00"/>
    <x v="0"/>
    <s v="Night"/>
    <s v="OP_C"/>
    <s v="M301"/>
    <s v="B1848"/>
    <n v="10.0669"/>
  </r>
  <r>
    <d v="2026-01-17T00:00:00"/>
    <x v="0"/>
    <s v="Morning"/>
    <s v="OP_A"/>
    <s v="M202"/>
    <s v="B1849"/>
    <n v="10.0169"/>
  </r>
  <r>
    <d v="2026-01-18T00:00:00"/>
    <x v="2"/>
    <s v="Morning"/>
    <s v="OP_A"/>
    <s v="M201"/>
    <s v="B1850"/>
    <n v="10.009600000000001"/>
  </r>
  <r>
    <d v="2026-01-18T00:00:00"/>
    <x v="0"/>
    <s v="Morning"/>
    <s v="OP_D"/>
    <s v="M102"/>
    <s v="B1851"/>
    <n v="9.9736999999999991"/>
  </r>
  <r>
    <d v="2026-01-18T00:00:00"/>
    <x v="2"/>
    <s v="Afternoon"/>
    <s v="OP_A"/>
    <s v="M101"/>
    <s v="B1852"/>
    <n v="10.013"/>
  </r>
  <r>
    <d v="2026-01-18T00:00:00"/>
    <x v="1"/>
    <s v="Afternoon"/>
    <s v="OP_B"/>
    <s v="M102"/>
    <s v="B1853"/>
    <n v="10.0113"/>
  </r>
  <r>
    <d v="2026-01-18T00:00:00"/>
    <x v="2"/>
    <s v="Afternoon"/>
    <s v="OP_D"/>
    <s v="M202"/>
    <s v="B1854"/>
    <n v="9.9540000000000006"/>
  </r>
  <r>
    <d v="2026-01-18T00:00:00"/>
    <x v="2"/>
    <s v="Night"/>
    <s v="OP_A"/>
    <s v="M201"/>
    <s v="B1855"/>
    <n v="9.9886999999999997"/>
  </r>
  <r>
    <d v="2026-01-18T00:00:00"/>
    <x v="1"/>
    <s v="Morning"/>
    <s v="OP_A"/>
    <s v="M202"/>
    <s v="B1856"/>
    <n v="10.0847"/>
  </r>
  <r>
    <d v="2026-01-18T00:00:00"/>
    <x v="2"/>
    <s v="Morning"/>
    <s v="OP_D"/>
    <s v="M101"/>
    <s v="B1857"/>
    <n v="10.0108"/>
  </r>
  <r>
    <d v="2026-01-18T00:00:00"/>
    <x v="1"/>
    <s v="Night"/>
    <s v="OP_C"/>
    <s v="M102"/>
    <s v="B1858"/>
    <n v="10.046099999999999"/>
  </r>
  <r>
    <d v="2026-01-18T00:00:00"/>
    <x v="1"/>
    <s v="Afternoon"/>
    <s v="OP_C"/>
    <s v="M102"/>
    <s v="B1859"/>
    <n v="10.0192"/>
  </r>
  <r>
    <d v="2026-01-18T00:00:00"/>
    <x v="2"/>
    <s v="Morning"/>
    <s v="OP_B"/>
    <s v="M202"/>
    <s v="B1860"/>
    <n v="9.9505999999999997"/>
  </r>
  <r>
    <d v="2026-01-18T00:00:00"/>
    <x v="1"/>
    <s v="Night"/>
    <s v="OP_D"/>
    <s v="M301"/>
    <s v="B1861"/>
    <n v="10.0016"/>
  </r>
  <r>
    <d v="2026-01-18T00:00:00"/>
    <x v="0"/>
    <s v="Night"/>
    <s v="OP_A"/>
    <s v="M102"/>
    <s v="B1862"/>
    <n v="9.9952000000000005"/>
  </r>
  <r>
    <d v="2026-01-18T00:00:00"/>
    <x v="2"/>
    <s v="Afternoon"/>
    <s v="OP_A"/>
    <s v="M101"/>
    <s v="B1863"/>
    <n v="9.9580000000000002"/>
  </r>
  <r>
    <d v="2026-01-18T00:00:00"/>
    <x v="0"/>
    <s v="Night"/>
    <s v="OP_B"/>
    <s v="M101"/>
    <s v="B1864"/>
    <n v="10.0246"/>
  </r>
  <r>
    <d v="2026-01-18T00:00:00"/>
    <x v="2"/>
    <s v="Afternoon"/>
    <s v="OP_D"/>
    <s v="M101"/>
    <s v="B1865"/>
    <n v="10.0161"/>
  </r>
  <r>
    <d v="2026-01-18T00:00:00"/>
    <x v="2"/>
    <s v="Afternoon"/>
    <s v="OP_B"/>
    <s v="M102"/>
    <s v="B1866"/>
    <n v="9.9671000000000003"/>
  </r>
  <r>
    <d v="2026-01-18T00:00:00"/>
    <x v="1"/>
    <s v="Afternoon"/>
    <s v="OP_C"/>
    <s v="M202"/>
    <s v="B1867"/>
    <n v="9.9992999999999999"/>
  </r>
  <r>
    <d v="2026-01-18T00:00:00"/>
    <x v="2"/>
    <s v="Morning"/>
    <s v="OP_D"/>
    <s v="M201"/>
    <s v="B1868"/>
    <n v="10.0002"/>
  </r>
  <r>
    <d v="2026-01-18T00:00:00"/>
    <x v="0"/>
    <s v="Afternoon"/>
    <s v="OP_C"/>
    <s v="M202"/>
    <s v="B1869"/>
    <n v="10.003"/>
  </r>
  <r>
    <d v="2026-01-18T00:00:00"/>
    <x v="1"/>
    <s v="Afternoon"/>
    <s v="OP_A"/>
    <s v="M202"/>
    <s v="B1870"/>
    <n v="10.0037"/>
  </r>
  <r>
    <d v="2026-01-18T00:00:00"/>
    <x v="0"/>
    <s v="Morning"/>
    <s v="OP_B"/>
    <s v="M301"/>
    <s v="B1871"/>
    <n v="9.9924999999999997"/>
  </r>
  <r>
    <d v="2026-01-18T00:00:00"/>
    <x v="0"/>
    <s v="Morning"/>
    <s v="OP_D"/>
    <s v="M102"/>
    <s v="B1872"/>
    <n v="10.0022"/>
  </r>
  <r>
    <d v="2026-01-18T00:00:00"/>
    <x v="2"/>
    <s v="Night"/>
    <s v="OP_A"/>
    <s v="M101"/>
    <s v="B1873"/>
    <n v="9.9905000000000008"/>
  </r>
  <r>
    <d v="2026-01-18T00:00:00"/>
    <x v="2"/>
    <s v="Night"/>
    <s v="OP_C"/>
    <s v="M102"/>
    <s v="B1874"/>
    <n v="9.9651999999999994"/>
  </r>
  <r>
    <d v="2026-01-18T00:00:00"/>
    <x v="1"/>
    <s v="Morning"/>
    <s v="OP_D"/>
    <s v="M101"/>
    <s v="B1875"/>
    <n v="9.9525000000000006"/>
  </r>
  <r>
    <d v="2026-01-18T00:00:00"/>
    <x v="1"/>
    <s v="Morning"/>
    <s v="OP_D"/>
    <s v="M301"/>
    <s v="B1876"/>
    <n v="10.0334"/>
  </r>
  <r>
    <d v="2026-01-18T00:00:00"/>
    <x v="2"/>
    <s v="Night"/>
    <s v="OP_D"/>
    <s v="M101"/>
    <s v="B1877"/>
    <n v="9.9932999999999996"/>
  </r>
  <r>
    <d v="2026-01-18T00:00:00"/>
    <x v="1"/>
    <s v="Afternoon"/>
    <s v="OP_D"/>
    <s v="M102"/>
    <s v="B1878"/>
    <n v="9.9847999999999999"/>
  </r>
  <r>
    <d v="2026-01-18T00:00:00"/>
    <x v="0"/>
    <s v="Night"/>
    <s v="OP_D"/>
    <s v="M202"/>
    <s v="B1879"/>
    <n v="9.9697999999999993"/>
  </r>
  <r>
    <d v="2026-01-18T00:00:00"/>
    <x v="1"/>
    <s v="Afternoon"/>
    <s v="OP_B"/>
    <s v="M102"/>
    <s v="B1880"/>
    <n v="10.0053"/>
  </r>
  <r>
    <d v="2026-01-18T00:00:00"/>
    <x v="1"/>
    <s v="Afternoon"/>
    <s v="OP_A"/>
    <s v="M101"/>
    <s v="B1881"/>
    <n v="10.0379"/>
  </r>
  <r>
    <d v="2026-01-18T00:00:00"/>
    <x v="2"/>
    <s v="Night"/>
    <s v="OP_C"/>
    <s v="M102"/>
    <s v="B1882"/>
    <n v="9.9823000000000004"/>
  </r>
  <r>
    <d v="2026-01-18T00:00:00"/>
    <x v="1"/>
    <s v="Night"/>
    <s v="OP_A"/>
    <s v="M101"/>
    <s v="B1883"/>
    <n v="9.9981000000000009"/>
  </r>
  <r>
    <d v="2026-01-18T00:00:00"/>
    <x v="0"/>
    <s v="Afternoon"/>
    <s v="OP_C"/>
    <s v="M202"/>
    <s v="B1884"/>
    <n v="10.0192"/>
  </r>
  <r>
    <d v="2026-01-18T00:00:00"/>
    <x v="1"/>
    <s v="Morning"/>
    <s v="OP_D"/>
    <s v="M202"/>
    <s v="B1885"/>
    <n v="9.9829000000000008"/>
  </r>
  <r>
    <d v="2026-01-18T00:00:00"/>
    <x v="1"/>
    <s v="Afternoon"/>
    <s v="OP_D"/>
    <s v="M201"/>
    <s v="B1886"/>
    <n v="10.077"/>
  </r>
  <r>
    <d v="2026-01-18T00:00:00"/>
    <x v="0"/>
    <s v="Afternoon"/>
    <s v="OP_B"/>
    <s v="M101"/>
    <s v="B1887"/>
    <n v="9.9816000000000003"/>
  </r>
  <r>
    <d v="2026-01-18T00:00:00"/>
    <x v="1"/>
    <s v="Morning"/>
    <s v="OP_C"/>
    <s v="M202"/>
    <s v="B1888"/>
    <n v="10.030099999999999"/>
  </r>
  <r>
    <d v="2026-01-18T00:00:00"/>
    <x v="1"/>
    <s v="Night"/>
    <s v="OP_A"/>
    <s v="M201"/>
    <s v="B1889"/>
    <n v="10.037000000000001"/>
  </r>
  <r>
    <d v="2026-01-18T00:00:00"/>
    <x v="1"/>
    <s v="Afternoon"/>
    <s v="OP_B"/>
    <s v="M102"/>
    <s v="B1890"/>
    <n v="10.0063"/>
  </r>
  <r>
    <d v="2026-01-18T00:00:00"/>
    <x v="1"/>
    <s v="Night"/>
    <s v="OP_B"/>
    <s v="M102"/>
    <s v="B1891"/>
    <n v="10.029999999999999"/>
  </r>
  <r>
    <d v="2026-01-18T00:00:00"/>
    <x v="0"/>
    <s v="Morning"/>
    <s v="OP_A"/>
    <s v="M102"/>
    <s v="B1892"/>
    <n v="9.9754000000000005"/>
  </r>
  <r>
    <d v="2026-01-18T00:00:00"/>
    <x v="1"/>
    <s v="Afternoon"/>
    <s v="OP_C"/>
    <s v="M202"/>
    <s v="B1893"/>
    <n v="9.9994999999999994"/>
  </r>
  <r>
    <d v="2026-01-18T00:00:00"/>
    <x v="2"/>
    <s v="Night"/>
    <s v="OP_A"/>
    <s v="M202"/>
    <s v="B1894"/>
    <n v="9.9923999999999999"/>
  </r>
  <r>
    <d v="2026-01-18T00:00:00"/>
    <x v="1"/>
    <s v="Night"/>
    <s v="OP_C"/>
    <s v="M101"/>
    <s v="B1895"/>
    <n v="10.0786"/>
  </r>
  <r>
    <d v="2026-01-18T00:00:00"/>
    <x v="0"/>
    <s v="Night"/>
    <s v="OP_A"/>
    <s v="M101"/>
    <s v="B1896"/>
    <n v="10.0495"/>
  </r>
  <r>
    <d v="2026-01-18T00:00:00"/>
    <x v="1"/>
    <s v="Afternoon"/>
    <s v="OP_A"/>
    <s v="M301"/>
    <s v="B1897"/>
    <n v="10.0237"/>
  </r>
  <r>
    <d v="2026-01-18T00:00:00"/>
    <x v="0"/>
    <s v="Night"/>
    <s v="OP_B"/>
    <s v="M101"/>
    <s v="B1898"/>
    <n v="10.0085"/>
  </r>
  <r>
    <d v="2026-01-18T00:00:00"/>
    <x v="1"/>
    <s v="Afternoon"/>
    <s v="OP_C"/>
    <s v="M101"/>
    <s v="B1899"/>
    <n v="9.9648000000000003"/>
  </r>
  <r>
    <d v="2026-01-19T00:00:00"/>
    <x v="1"/>
    <s v="Night"/>
    <s v="OP_B"/>
    <s v="M301"/>
    <s v="B1900"/>
    <n v="10.0101"/>
  </r>
  <r>
    <d v="2026-01-19T00:00:00"/>
    <x v="0"/>
    <s v="Night"/>
    <s v="OP_B"/>
    <s v="M202"/>
    <s v="B1901"/>
    <n v="9.9764999999999997"/>
  </r>
  <r>
    <d v="2026-01-19T00:00:00"/>
    <x v="2"/>
    <s v="Afternoon"/>
    <s v="OP_B"/>
    <s v="M301"/>
    <s v="B1902"/>
    <n v="10.014699999999999"/>
  </r>
  <r>
    <d v="2026-01-19T00:00:00"/>
    <x v="0"/>
    <s v="Afternoon"/>
    <s v="OP_D"/>
    <s v="M301"/>
    <s v="B1903"/>
    <n v="9.9650999999999996"/>
  </r>
  <r>
    <d v="2026-01-19T00:00:00"/>
    <x v="0"/>
    <s v="Morning"/>
    <s v="OP_C"/>
    <s v="M101"/>
    <s v="B1904"/>
    <n v="9.9765999999999995"/>
  </r>
  <r>
    <d v="2026-01-19T00:00:00"/>
    <x v="1"/>
    <s v="Afternoon"/>
    <s v="OP_A"/>
    <s v="M101"/>
    <s v="B1905"/>
    <n v="9.9946999999999999"/>
  </r>
  <r>
    <d v="2026-01-19T00:00:00"/>
    <x v="0"/>
    <s v="Night"/>
    <s v="OP_C"/>
    <s v="M301"/>
    <s v="B1906"/>
    <n v="10.018700000000001"/>
  </r>
  <r>
    <d v="2026-01-19T00:00:00"/>
    <x v="1"/>
    <s v="Night"/>
    <s v="OP_C"/>
    <s v="M202"/>
    <s v="B1907"/>
    <n v="10.021100000000001"/>
  </r>
  <r>
    <d v="2026-01-19T00:00:00"/>
    <x v="2"/>
    <s v="Night"/>
    <s v="OP_D"/>
    <s v="M202"/>
    <s v="B1908"/>
    <n v="10.037800000000001"/>
  </r>
  <r>
    <d v="2026-01-19T00:00:00"/>
    <x v="0"/>
    <s v="Morning"/>
    <s v="OP_C"/>
    <s v="M301"/>
    <s v="B1909"/>
    <n v="10.005000000000001"/>
  </r>
  <r>
    <d v="2026-01-19T00:00:00"/>
    <x v="2"/>
    <s v="Night"/>
    <s v="OP_A"/>
    <s v="M301"/>
    <s v="B1910"/>
    <n v="10.013"/>
  </r>
  <r>
    <d v="2026-01-19T00:00:00"/>
    <x v="2"/>
    <s v="Morning"/>
    <s v="OP_B"/>
    <s v="M101"/>
    <s v="B1911"/>
    <n v="9.9952000000000005"/>
  </r>
  <r>
    <d v="2026-01-19T00:00:00"/>
    <x v="0"/>
    <s v="Morning"/>
    <s v="OP_C"/>
    <s v="M201"/>
    <s v="B1912"/>
    <n v="9.9847999999999999"/>
  </r>
  <r>
    <d v="2026-01-19T00:00:00"/>
    <x v="0"/>
    <s v="Morning"/>
    <s v="OP_D"/>
    <s v="M101"/>
    <s v="B1913"/>
    <n v="9.9936000000000007"/>
  </r>
  <r>
    <d v="2026-01-19T00:00:00"/>
    <x v="2"/>
    <s v="Morning"/>
    <s v="OP_C"/>
    <s v="M102"/>
    <s v="B1914"/>
    <n v="9.9736999999999991"/>
  </r>
  <r>
    <d v="2026-01-19T00:00:00"/>
    <x v="1"/>
    <s v="Afternoon"/>
    <s v="OP_C"/>
    <s v="M101"/>
    <s v="B1915"/>
    <n v="10.1211"/>
  </r>
  <r>
    <d v="2026-01-19T00:00:00"/>
    <x v="1"/>
    <s v="Night"/>
    <s v="OP_A"/>
    <s v="M201"/>
    <s v="B1916"/>
    <n v="10.0068"/>
  </r>
  <r>
    <d v="2026-01-19T00:00:00"/>
    <x v="0"/>
    <s v="Night"/>
    <s v="OP_D"/>
    <s v="M101"/>
    <s v="B1917"/>
    <n v="10.0116"/>
  </r>
  <r>
    <d v="2026-01-19T00:00:00"/>
    <x v="2"/>
    <s v="Afternoon"/>
    <s v="OP_A"/>
    <s v="M201"/>
    <s v="B1918"/>
    <n v="10.009499999999999"/>
  </r>
  <r>
    <d v="2026-01-19T00:00:00"/>
    <x v="2"/>
    <s v="Afternoon"/>
    <s v="OP_B"/>
    <s v="M102"/>
    <s v="B1919"/>
    <n v="9.9811999999999994"/>
  </r>
  <r>
    <d v="2026-01-19T00:00:00"/>
    <x v="0"/>
    <s v="Morning"/>
    <s v="OP_B"/>
    <s v="M102"/>
    <s v="B1920"/>
    <n v="9.9870000000000001"/>
  </r>
  <r>
    <d v="2026-01-19T00:00:00"/>
    <x v="2"/>
    <s v="Morning"/>
    <s v="OP_C"/>
    <s v="M202"/>
    <s v="B1921"/>
    <n v="10.035"/>
  </r>
  <r>
    <d v="2026-01-19T00:00:00"/>
    <x v="1"/>
    <s v="Afternoon"/>
    <s v="OP_B"/>
    <s v="M102"/>
    <s v="B1922"/>
    <n v="10.003"/>
  </r>
  <r>
    <d v="2026-01-19T00:00:00"/>
    <x v="2"/>
    <s v="Night"/>
    <s v="OP_B"/>
    <s v="M102"/>
    <s v="B1923"/>
    <n v="10.0161"/>
  </r>
  <r>
    <d v="2026-01-19T00:00:00"/>
    <x v="2"/>
    <s v="Afternoon"/>
    <s v="OP_A"/>
    <s v="M201"/>
    <s v="B1924"/>
    <n v="10.010899999999999"/>
  </r>
  <r>
    <d v="2026-01-19T00:00:00"/>
    <x v="2"/>
    <s v="Morning"/>
    <s v="OP_B"/>
    <s v="M101"/>
    <s v="B1925"/>
    <n v="10.024800000000001"/>
  </r>
  <r>
    <d v="2026-01-19T00:00:00"/>
    <x v="1"/>
    <s v="Morning"/>
    <s v="OP_A"/>
    <s v="M201"/>
    <s v="B1926"/>
    <n v="9.9699000000000009"/>
  </r>
  <r>
    <d v="2026-01-19T00:00:00"/>
    <x v="2"/>
    <s v="Morning"/>
    <s v="OP_B"/>
    <s v="M201"/>
    <s v="B1927"/>
    <n v="9.9806000000000008"/>
  </r>
  <r>
    <d v="2026-01-19T00:00:00"/>
    <x v="0"/>
    <s v="Night"/>
    <s v="OP_A"/>
    <s v="M301"/>
    <s v="B1928"/>
    <n v="10.013"/>
  </r>
  <r>
    <d v="2026-01-19T00:00:00"/>
    <x v="0"/>
    <s v="Morning"/>
    <s v="OP_D"/>
    <s v="M102"/>
    <s v="B1929"/>
    <n v="9.9955999999999996"/>
  </r>
  <r>
    <d v="2026-01-19T00:00:00"/>
    <x v="0"/>
    <s v="Night"/>
    <s v="OP_A"/>
    <s v="M102"/>
    <s v="B1930"/>
    <n v="10.0307"/>
  </r>
  <r>
    <d v="2026-01-19T00:00:00"/>
    <x v="0"/>
    <s v="Afternoon"/>
    <s v="OP_D"/>
    <s v="M202"/>
    <s v="B1931"/>
    <n v="10.0137"/>
  </r>
  <r>
    <d v="2026-01-19T00:00:00"/>
    <x v="1"/>
    <s v="Night"/>
    <s v="OP_C"/>
    <s v="M301"/>
    <s v="B1932"/>
    <n v="10.036099999999999"/>
  </r>
  <r>
    <d v="2026-01-19T00:00:00"/>
    <x v="2"/>
    <s v="Night"/>
    <s v="OP_A"/>
    <s v="M201"/>
    <s v="B1933"/>
    <n v="10.011699999999999"/>
  </r>
  <r>
    <d v="2026-01-19T00:00:00"/>
    <x v="0"/>
    <s v="Morning"/>
    <s v="OP_D"/>
    <s v="M201"/>
    <s v="B1934"/>
    <n v="9.9760000000000009"/>
  </r>
  <r>
    <d v="2026-01-19T00:00:00"/>
    <x v="2"/>
    <s v="Morning"/>
    <s v="OP_B"/>
    <s v="M301"/>
    <s v="B1935"/>
    <n v="10.0114"/>
  </r>
  <r>
    <d v="2026-01-19T00:00:00"/>
    <x v="2"/>
    <s v="Afternoon"/>
    <s v="OP_D"/>
    <s v="M202"/>
    <s v="B1936"/>
    <n v="10.0359"/>
  </r>
  <r>
    <d v="2026-01-19T00:00:00"/>
    <x v="1"/>
    <s v="Morning"/>
    <s v="OP_A"/>
    <s v="M301"/>
    <s v="B1937"/>
    <n v="10.0016"/>
  </r>
  <r>
    <d v="2026-01-19T00:00:00"/>
    <x v="1"/>
    <s v="Afternoon"/>
    <s v="OP_B"/>
    <s v="M202"/>
    <s v="B1938"/>
    <n v="9.9882000000000009"/>
  </r>
  <r>
    <d v="2026-01-19T00:00:00"/>
    <x v="1"/>
    <s v="Morning"/>
    <s v="OP_A"/>
    <s v="M101"/>
    <s v="B1939"/>
    <n v="10.0281"/>
  </r>
  <r>
    <d v="2026-01-19T00:00:00"/>
    <x v="0"/>
    <s v="Afternoon"/>
    <s v="OP_C"/>
    <s v="M201"/>
    <s v="B1940"/>
    <n v="9.9916"/>
  </r>
  <r>
    <d v="2026-01-19T00:00:00"/>
    <x v="0"/>
    <s v="Night"/>
    <s v="OP_A"/>
    <s v="M102"/>
    <s v="B1941"/>
    <n v="9.9802"/>
  </r>
  <r>
    <d v="2026-01-19T00:00:00"/>
    <x v="2"/>
    <s v="Afternoon"/>
    <s v="OP_A"/>
    <s v="M202"/>
    <s v="B1942"/>
    <n v="10.009499999999999"/>
  </r>
  <r>
    <d v="2026-01-19T00:00:00"/>
    <x v="1"/>
    <s v="Morning"/>
    <s v="OP_D"/>
    <s v="M201"/>
    <s v="B1943"/>
    <n v="10.0236"/>
  </r>
  <r>
    <d v="2026-01-19T00:00:00"/>
    <x v="0"/>
    <s v="Night"/>
    <s v="OP_D"/>
    <s v="M101"/>
    <s v="B1944"/>
    <n v="10.026999999999999"/>
  </r>
  <r>
    <d v="2026-01-19T00:00:00"/>
    <x v="0"/>
    <s v="Night"/>
    <s v="OP_B"/>
    <s v="M201"/>
    <s v="B1945"/>
    <n v="10.0198"/>
  </r>
  <r>
    <d v="2026-01-19T00:00:00"/>
    <x v="1"/>
    <s v="Morning"/>
    <s v="OP_A"/>
    <s v="M101"/>
    <s v="B1946"/>
    <n v="10.037000000000001"/>
  </r>
  <r>
    <d v="2026-01-19T00:00:00"/>
    <x v="2"/>
    <s v="Afternoon"/>
    <s v="OP_A"/>
    <s v="M101"/>
    <s v="B1947"/>
    <n v="9.9992000000000001"/>
  </r>
  <r>
    <d v="2026-01-19T00:00:00"/>
    <x v="1"/>
    <s v="Afternoon"/>
    <s v="OP_C"/>
    <s v="M201"/>
    <s v="B1948"/>
    <n v="10.0451"/>
  </r>
  <r>
    <d v="2026-01-19T00:00:00"/>
    <x v="2"/>
    <s v="Morning"/>
    <s v="OP_A"/>
    <s v="M202"/>
    <s v="B1949"/>
    <n v="10.017099999999999"/>
  </r>
  <r>
    <d v="2026-01-20T00:00:00"/>
    <x v="2"/>
    <s v="Afternoon"/>
    <s v="OP_B"/>
    <s v="M301"/>
    <s v="B1950"/>
    <n v="10.0397"/>
  </r>
  <r>
    <d v="2026-01-20T00:00:00"/>
    <x v="0"/>
    <s v="Morning"/>
    <s v="OP_C"/>
    <s v="M301"/>
    <s v="B1951"/>
    <n v="10.000400000000001"/>
  </r>
  <r>
    <d v="2026-01-20T00:00:00"/>
    <x v="1"/>
    <s v="Night"/>
    <s v="OP_C"/>
    <s v="M102"/>
    <s v="B1952"/>
    <n v="10.042400000000001"/>
  </r>
  <r>
    <d v="2026-01-20T00:00:00"/>
    <x v="2"/>
    <s v="Afternoon"/>
    <s v="OP_D"/>
    <s v="M301"/>
    <s v="B1953"/>
    <n v="10.0418"/>
  </r>
  <r>
    <d v="2026-01-20T00:00:00"/>
    <x v="0"/>
    <s v="Morning"/>
    <s v="OP_C"/>
    <s v="M301"/>
    <s v="B1954"/>
    <n v="10.026300000000001"/>
  </r>
  <r>
    <d v="2026-01-20T00:00:00"/>
    <x v="2"/>
    <s v="Afternoon"/>
    <s v="OP_B"/>
    <s v="M102"/>
    <s v="B1955"/>
    <n v="10.013"/>
  </r>
  <r>
    <d v="2026-01-20T00:00:00"/>
    <x v="2"/>
    <s v="Night"/>
    <s v="OP_B"/>
    <s v="M201"/>
    <s v="B1956"/>
    <n v="9.9693000000000005"/>
  </r>
  <r>
    <d v="2026-01-20T00:00:00"/>
    <x v="1"/>
    <s v="Morning"/>
    <s v="OP_C"/>
    <s v="M301"/>
    <s v="B1957"/>
    <n v="9.9708000000000006"/>
  </r>
  <r>
    <d v="2026-01-20T00:00:00"/>
    <x v="2"/>
    <s v="Night"/>
    <s v="OP_C"/>
    <s v="M301"/>
    <s v="B1958"/>
    <n v="10.016299999999999"/>
  </r>
  <r>
    <d v="2026-01-20T00:00:00"/>
    <x v="1"/>
    <s v="Morning"/>
    <s v="OP_C"/>
    <s v="M102"/>
    <s v="B1959"/>
    <n v="10.035600000000001"/>
  </r>
  <r>
    <d v="2026-01-20T00:00:00"/>
    <x v="1"/>
    <s v="Morning"/>
    <s v="OP_B"/>
    <s v="M102"/>
    <s v="B1960"/>
    <n v="10.059200000000001"/>
  </r>
  <r>
    <d v="2026-01-20T00:00:00"/>
    <x v="1"/>
    <s v="Night"/>
    <s v="OP_A"/>
    <s v="M202"/>
    <s v="B1961"/>
    <n v="10.0352"/>
  </r>
  <r>
    <d v="2026-01-20T00:00:00"/>
    <x v="2"/>
    <s v="Afternoon"/>
    <s v="OP_B"/>
    <s v="M102"/>
    <s v="B1962"/>
    <n v="10.0068"/>
  </r>
  <r>
    <d v="2026-01-20T00:00:00"/>
    <x v="2"/>
    <s v="Morning"/>
    <s v="OP_D"/>
    <s v="M202"/>
    <s v="B1963"/>
    <n v="10.0076"/>
  </r>
  <r>
    <d v="2026-01-20T00:00:00"/>
    <x v="0"/>
    <s v="Morning"/>
    <s v="OP_D"/>
    <s v="M101"/>
    <s v="B1964"/>
    <n v="9.9833999999999996"/>
  </r>
  <r>
    <d v="2026-01-20T00:00:00"/>
    <x v="0"/>
    <s v="Morning"/>
    <s v="OP_B"/>
    <s v="M301"/>
    <s v="B1965"/>
    <n v="9.9982000000000006"/>
  </r>
  <r>
    <d v="2026-01-20T00:00:00"/>
    <x v="1"/>
    <s v="Morning"/>
    <s v="OP_D"/>
    <s v="M202"/>
    <s v="B1966"/>
    <n v="9.9745000000000008"/>
  </r>
  <r>
    <d v="2026-01-20T00:00:00"/>
    <x v="2"/>
    <s v="Afternoon"/>
    <s v="OP_C"/>
    <s v="M101"/>
    <s v="B1967"/>
    <n v="10.008599999999999"/>
  </r>
  <r>
    <d v="2026-01-20T00:00:00"/>
    <x v="1"/>
    <s v="Afternoon"/>
    <s v="OP_D"/>
    <s v="M201"/>
    <s v="B1968"/>
    <n v="10.0037"/>
  </r>
  <r>
    <d v="2026-01-20T00:00:00"/>
    <x v="0"/>
    <s v="Night"/>
    <s v="OP_D"/>
    <s v="M301"/>
    <s v="B1969"/>
    <n v="10.031599999999999"/>
  </r>
  <r>
    <d v="2026-01-20T00:00:00"/>
    <x v="1"/>
    <s v="Night"/>
    <s v="OP_C"/>
    <s v="M301"/>
    <s v="B1970"/>
    <n v="9.9917999999999996"/>
  </r>
  <r>
    <d v="2026-01-20T00:00:00"/>
    <x v="1"/>
    <s v="Night"/>
    <s v="OP_A"/>
    <s v="M201"/>
    <s v="B1971"/>
    <n v="9.9840999999999998"/>
  </r>
  <r>
    <d v="2026-01-20T00:00:00"/>
    <x v="2"/>
    <s v="Morning"/>
    <s v="OP_B"/>
    <s v="M101"/>
    <s v="B1972"/>
    <n v="9.9863999999999997"/>
  </r>
  <r>
    <d v="2026-01-20T00:00:00"/>
    <x v="0"/>
    <s v="Afternoon"/>
    <s v="OP_B"/>
    <s v="M201"/>
    <s v="B1973"/>
    <n v="10.0283"/>
  </r>
  <r>
    <d v="2026-01-20T00:00:00"/>
    <x v="0"/>
    <s v="Afternoon"/>
    <s v="OP_B"/>
    <s v="M102"/>
    <s v="B1974"/>
    <n v="9.9905000000000008"/>
  </r>
  <r>
    <d v="2026-01-20T00:00:00"/>
    <x v="2"/>
    <s v="Afternoon"/>
    <s v="OP_D"/>
    <s v="M202"/>
    <s v="B1975"/>
    <n v="10.0113"/>
  </r>
  <r>
    <d v="2026-01-20T00:00:00"/>
    <x v="0"/>
    <s v="Night"/>
    <s v="OP_D"/>
    <s v="M201"/>
    <s v="B1976"/>
    <n v="10.0265"/>
  </r>
  <r>
    <d v="2026-01-20T00:00:00"/>
    <x v="1"/>
    <s v="Night"/>
    <s v="OP_C"/>
    <s v="M202"/>
    <s v="B1977"/>
    <n v="10.0494"/>
  </r>
  <r>
    <d v="2026-01-20T00:00:00"/>
    <x v="0"/>
    <s v="Morning"/>
    <s v="OP_C"/>
    <s v="M201"/>
    <s v="B1978"/>
    <n v="9.9984999999999999"/>
  </r>
  <r>
    <d v="2026-01-20T00:00:00"/>
    <x v="1"/>
    <s v="Night"/>
    <s v="OP_D"/>
    <s v="M102"/>
    <s v="B1979"/>
    <n v="10.034700000000001"/>
  </r>
  <r>
    <d v="2026-01-20T00:00:00"/>
    <x v="2"/>
    <s v="Morning"/>
    <s v="OP_A"/>
    <s v="M201"/>
    <s v="B1980"/>
    <n v="9.9773999999999994"/>
  </r>
  <r>
    <d v="2026-01-20T00:00:00"/>
    <x v="2"/>
    <s v="Afternoon"/>
    <s v="OP_C"/>
    <s v="M102"/>
    <s v="B1981"/>
    <n v="9.9697999999999993"/>
  </r>
  <r>
    <d v="2026-01-20T00:00:00"/>
    <x v="1"/>
    <s v="Morning"/>
    <s v="OP_D"/>
    <s v="M101"/>
    <s v="B1982"/>
    <n v="10.003"/>
  </r>
  <r>
    <d v="2026-01-20T00:00:00"/>
    <x v="0"/>
    <s v="Morning"/>
    <s v="OP_D"/>
    <s v="M201"/>
    <s v="B1983"/>
    <n v="10.0402"/>
  </r>
  <r>
    <d v="2026-01-20T00:00:00"/>
    <x v="2"/>
    <s v="Morning"/>
    <s v="OP_D"/>
    <s v="M101"/>
    <s v="B1984"/>
    <n v="9.9944000000000006"/>
  </r>
  <r>
    <d v="2026-01-20T00:00:00"/>
    <x v="1"/>
    <s v="Morning"/>
    <s v="OP_D"/>
    <s v="M101"/>
    <s v="B1985"/>
    <n v="10.009600000000001"/>
  </r>
  <r>
    <d v="2026-01-20T00:00:00"/>
    <x v="2"/>
    <s v="Morning"/>
    <s v="OP_B"/>
    <s v="M201"/>
    <s v="B1986"/>
    <n v="10.010400000000001"/>
  </r>
  <r>
    <d v="2026-01-20T00:00:00"/>
    <x v="1"/>
    <s v="Afternoon"/>
    <s v="OP_A"/>
    <s v="M202"/>
    <s v="B1987"/>
    <n v="10.011799999999999"/>
  </r>
  <r>
    <d v="2026-01-20T00:00:00"/>
    <x v="2"/>
    <s v="Night"/>
    <s v="OP_A"/>
    <s v="M301"/>
    <s v="B1988"/>
    <n v="10.013"/>
  </r>
  <r>
    <d v="2026-01-20T00:00:00"/>
    <x v="1"/>
    <s v="Morning"/>
    <s v="OP_D"/>
    <s v="M102"/>
    <s v="B1989"/>
    <n v="9.9944000000000006"/>
  </r>
  <r>
    <d v="2026-01-20T00:00:00"/>
    <x v="0"/>
    <s v="Afternoon"/>
    <s v="OP_A"/>
    <s v="M201"/>
    <s v="B1990"/>
    <n v="10.0379"/>
  </r>
  <r>
    <d v="2026-01-20T00:00:00"/>
    <x v="2"/>
    <s v="Morning"/>
    <s v="OP_A"/>
    <s v="M201"/>
    <s v="B1991"/>
    <n v="9.9986999999999995"/>
  </r>
  <r>
    <d v="2026-01-20T00:00:00"/>
    <x v="0"/>
    <s v="Afternoon"/>
    <s v="OP_B"/>
    <s v="M301"/>
    <s v="B1992"/>
    <n v="10.002599999999999"/>
  </r>
  <r>
    <d v="2026-01-20T00:00:00"/>
    <x v="0"/>
    <s v="Afternoon"/>
    <s v="OP_B"/>
    <s v="M202"/>
    <s v="B1993"/>
    <n v="9.9978999999999996"/>
  </r>
  <r>
    <d v="2026-01-20T00:00:00"/>
    <x v="2"/>
    <s v="Afternoon"/>
    <s v="OP_A"/>
    <s v="M101"/>
    <s v="B1994"/>
    <n v="9.9771000000000001"/>
  </r>
  <r>
    <d v="2026-01-20T00:00:00"/>
    <x v="0"/>
    <s v="Night"/>
    <s v="OP_A"/>
    <s v="M102"/>
    <s v="B1995"/>
    <n v="9.9682999999999993"/>
  </r>
  <r>
    <d v="2026-01-20T00:00:00"/>
    <x v="1"/>
    <s v="Night"/>
    <s v="OP_A"/>
    <s v="M101"/>
    <s v="B1996"/>
    <n v="10.0603"/>
  </r>
  <r>
    <d v="2026-01-20T00:00:00"/>
    <x v="1"/>
    <s v="Afternoon"/>
    <s v="OP_C"/>
    <s v="M201"/>
    <s v="B1997"/>
    <n v="10.000999999999999"/>
  </r>
  <r>
    <d v="2026-01-20T00:00:00"/>
    <x v="0"/>
    <s v="Morning"/>
    <s v="OP_C"/>
    <s v="M102"/>
    <s v="B1998"/>
    <n v="10.0547"/>
  </r>
  <r>
    <d v="2026-01-20T00:00:00"/>
    <x v="0"/>
    <s v="Afternoon"/>
    <s v="OP_C"/>
    <s v="M301"/>
    <s v="B1999"/>
    <n v="9.9875000000000007"/>
  </r>
  <r>
    <d v="2026-01-21T00:00:00"/>
    <x v="1"/>
    <s v="Morning"/>
    <s v="OP_A"/>
    <s v="M301"/>
    <s v="B2000"/>
    <n v="10.042400000000001"/>
  </r>
  <r>
    <d v="2026-01-21T00:00:00"/>
    <x v="2"/>
    <s v="Morning"/>
    <s v="OP_A"/>
    <s v="M202"/>
    <s v="B2001"/>
    <n v="9.9821000000000009"/>
  </r>
  <r>
    <d v="2026-01-21T00:00:00"/>
    <x v="2"/>
    <s v="Afternoon"/>
    <s v="OP_B"/>
    <s v="M201"/>
    <s v="B2002"/>
    <n v="9.9860000000000007"/>
  </r>
  <r>
    <d v="2026-01-21T00:00:00"/>
    <x v="1"/>
    <s v="Night"/>
    <s v="OP_A"/>
    <s v="M202"/>
    <s v="B2003"/>
    <n v="10.0014"/>
  </r>
  <r>
    <d v="2026-01-21T00:00:00"/>
    <x v="2"/>
    <s v="Afternoon"/>
    <s v="OP_C"/>
    <s v="M102"/>
    <s v="B2004"/>
    <n v="10.000299999999999"/>
  </r>
  <r>
    <d v="2026-01-21T00:00:00"/>
    <x v="1"/>
    <s v="Night"/>
    <s v="OP_B"/>
    <s v="M101"/>
    <s v="B2005"/>
    <n v="9.9817"/>
  </r>
  <r>
    <d v="2026-01-21T00:00:00"/>
    <x v="2"/>
    <s v="Afternoon"/>
    <s v="OP_C"/>
    <s v="M101"/>
    <s v="B2006"/>
    <n v="9.9702000000000002"/>
  </r>
  <r>
    <d v="2026-01-21T00:00:00"/>
    <x v="2"/>
    <s v="Afternoon"/>
    <s v="OP_B"/>
    <s v="M301"/>
    <s v="B2007"/>
    <n v="10.0375"/>
  </r>
  <r>
    <d v="2026-01-21T00:00:00"/>
    <x v="2"/>
    <s v="Afternoon"/>
    <s v="OP_D"/>
    <s v="M101"/>
    <s v="B2008"/>
    <n v="9.9968000000000004"/>
  </r>
  <r>
    <d v="2026-01-21T00:00:00"/>
    <x v="1"/>
    <s v="Morning"/>
    <s v="OP_D"/>
    <s v="M101"/>
    <s v="B2009"/>
    <n v="10.0753"/>
  </r>
  <r>
    <d v="2026-01-21T00:00:00"/>
    <x v="2"/>
    <s v="Afternoon"/>
    <s v="OP_D"/>
    <s v="M301"/>
    <s v="B2010"/>
    <n v="10.017799999999999"/>
  </r>
  <r>
    <d v="2026-01-21T00:00:00"/>
    <x v="2"/>
    <s v="Afternoon"/>
    <s v="OP_D"/>
    <s v="M101"/>
    <s v="B2011"/>
    <n v="10.018000000000001"/>
  </r>
  <r>
    <d v="2026-01-21T00:00:00"/>
    <x v="0"/>
    <s v="Afternoon"/>
    <s v="OP_B"/>
    <s v="M202"/>
    <s v="B2012"/>
    <n v="9.9936000000000007"/>
  </r>
  <r>
    <d v="2026-01-21T00:00:00"/>
    <x v="2"/>
    <s v="Afternoon"/>
    <s v="OP_B"/>
    <s v="M102"/>
    <s v="B2013"/>
    <n v="9.9914000000000005"/>
  </r>
  <r>
    <d v="2026-01-21T00:00:00"/>
    <x v="0"/>
    <s v="Night"/>
    <s v="OP_B"/>
    <s v="M102"/>
    <s v="B2014"/>
    <n v="9.9783000000000008"/>
  </r>
  <r>
    <d v="2026-01-21T00:00:00"/>
    <x v="0"/>
    <s v="Afternoon"/>
    <s v="OP_D"/>
    <s v="M201"/>
    <s v="B2015"/>
    <n v="10.0039"/>
  </r>
  <r>
    <d v="2026-01-21T00:00:00"/>
    <x v="1"/>
    <s v="Night"/>
    <s v="OP_B"/>
    <s v="M102"/>
    <s v="B2016"/>
    <n v="9.9762000000000004"/>
  </r>
  <r>
    <d v="2026-01-21T00:00:00"/>
    <x v="0"/>
    <s v="Morning"/>
    <s v="OP_A"/>
    <s v="M102"/>
    <s v="B2017"/>
    <n v="10.0113"/>
  </r>
  <r>
    <d v="2026-01-21T00:00:00"/>
    <x v="2"/>
    <s v="Afternoon"/>
    <s v="OP_D"/>
    <s v="M201"/>
    <s v="B2018"/>
    <n v="9.9749999999999996"/>
  </r>
  <r>
    <d v="2026-01-21T00:00:00"/>
    <x v="1"/>
    <s v="Night"/>
    <s v="OP_B"/>
    <s v="M201"/>
    <s v="B2019"/>
    <n v="10.054"/>
  </r>
  <r>
    <d v="2026-01-21T00:00:00"/>
    <x v="0"/>
    <s v="Morning"/>
    <s v="OP_B"/>
    <s v="M102"/>
    <s v="B2020"/>
    <n v="10.000400000000001"/>
  </r>
  <r>
    <d v="2026-01-21T00:00:00"/>
    <x v="1"/>
    <s v="Afternoon"/>
    <s v="OP_D"/>
    <s v="M101"/>
    <s v="B2021"/>
    <n v="10.029199999999999"/>
  </r>
  <r>
    <d v="2026-01-21T00:00:00"/>
    <x v="1"/>
    <s v="Night"/>
    <s v="OP_B"/>
    <s v="M102"/>
    <s v="B2022"/>
    <n v="10.0572"/>
  </r>
  <r>
    <d v="2026-01-21T00:00:00"/>
    <x v="1"/>
    <s v="Night"/>
    <s v="OP_A"/>
    <s v="M101"/>
    <s v="B2023"/>
    <n v="10.0341"/>
  </r>
  <r>
    <d v="2026-01-21T00:00:00"/>
    <x v="0"/>
    <s v="Afternoon"/>
    <s v="OP_D"/>
    <s v="M301"/>
    <s v="B2024"/>
    <n v="9.9632000000000005"/>
  </r>
  <r>
    <d v="2026-01-21T00:00:00"/>
    <x v="0"/>
    <s v="Afternoon"/>
    <s v="OP_B"/>
    <s v="M301"/>
    <s v="B2025"/>
    <n v="9.9649000000000001"/>
  </r>
  <r>
    <d v="2026-01-21T00:00:00"/>
    <x v="1"/>
    <s v="Morning"/>
    <s v="OP_D"/>
    <s v="M102"/>
    <s v="B2026"/>
    <n v="10.0251"/>
  </r>
  <r>
    <d v="2026-01-21T00:00:00"/>
    <x v="0"/>
    <s v="Night"/>
    <s v="OP_D"/>
    <s v="M301"/>
    <s v="B2027"/>
    <n v="9.9918999999999993"/>
  </r>
  <r>
    <d v="2026-01-21T00:00:00"/>
    <x v="0"/>
    <s v="Morning"/>
    <s v="OP_D"/>
    <s v="M202"/>
    <s v="B2028"/>
    <n v="9.9689999999999994"/>
  </r>
  <r>
    <d v="2026-01-21T00:00:00"/>
    <x v="2"/>
    <s v="Morning"/>
    <s v="OP_A"/>
    <s v="M202"/>
    <s v="B2029"/>
    <n v="10.0298"/>
  </r>
  <r>
    <d v="2026-01-21T00:00:00"/>
    <x v="0"/>
    <s v="Afternoon"/>
    <s v="OP_B"/>
    <s v="M201"/>
    <s v="B2030"/>
    <n v="9.9909999999999997"/>
  </r>
  <r>
    <d v="2026-01-21T00:00:00"/>
    <x v="2"/>
    <s v="Night"/>
    <s v="OP_B"/>
    <s v="M201"/>
    <s v="B2031"/>
    <n v="10.0137"/>
  </r>
  <r>
    <d v="2026-01-21T00:00:00"/>
    <x v="1"/>
    <s v="Morning"/>
    <s v="OP_C"/>
    <s v="M201"/>
    <s v="B2032"/>
    <n v="10.0457"/>
  </r>
  <r>
    <d v="2026-01-21T00:00:00"/>
    <x v="2"/>
    <s v="Afternoon"/>
    <s v="OP_B"/>
    <s v="M202"/>
    <s v="B2033"/>
    <n v="10.025399999999999"/>
  </r>
  <r>
    <d v="2026-01-21T00:00:00"/>
    <x v="1"/>
    <s v="Night"/>
    <s v="OP_C"/>
    <s v="M101"/>
    <s v="B2034"/>
    <n v="10.0678"/>
  </r>
  <r>
    <d v="2026-01-21T00:00:00"/>
    <x v="0"/>
    <s v="Afternoon"/>
    <s v="OP_B"/>
    <s v="M301"/>
    <s v="B2035"/>
    <n v="10"/>
  </r>
  <r>
    <d v="2026-01-21T00:00:00"/>
    <x v="0"/>
    <s v="Morning"/>
    <s v="OP_A"/>
    <s v="M102"/>
    <s v="B2036"/>
    <n v="10.0145"/>
  </r>
  <r>
    <d v="2026-01-21T00:00:00"/>
    <x v="0"/>
    <s v="Night"/>
    <s v="OP_A"/>
    <s v="M201"/>
    <s v="B2037"/>
    <n v="9.9670000000000005"/>
  </r>
  <r>
    <d v="2026-01-21T00:00:00"/>
    <x v="2"/>
    <s v="Night"/>
    <s v="OP_D"/>
    <s v="M201"/>
    <s v="B2038"/>
    <n v="10.0397"/>
  </r>
  <r>
    <d v="2026-01-21T00:00:00"/>
    <x v="2"/>
    <s v="Night"/>
    <s v="OP_D"/>
    <s v="M102"/>
    <s v="B2039"/>
    <n v="9.9970999999999997"/>
  </r>
  <r>
    <d v="2026-01-21T00:00:00"/>
    <x v="0"/>
    <s v="Night"/>
    <s v="OP_B"/>
    <s v="M102"/>
    <s v="B2040"/>
    <n v="10.0014"/>
  </r>
  <r>
    <d v="2026-01-21T00:00:00"/>
    <x v="0"/>
    <s v="Morning"/>
    <s v="OP_D"/>
    <s v="M202"/>
    <s v="B2041"/>
    <n v="10.0328"/>
  </r>
  <r>
    <d v="2026-01-21T00:00:00"/>
    <x v="2"/>
    <s v="Afternoon"/>
    <s v="OP_D"/>
    <s v="M201"/>
    <s v="B2042"/>
    <n v="9.9946000000000002"/>
  </r>
  <r>
    <d v="2026-01-21T00:00:00"/>
    <x v="1"/>
    <s v="Afternoon"/>
    <s v="OP_A"/>
    <s v="M102"/>
    <s v="B2043"/>
    <n v="9.9969000000000001"/>
  </r>
  <r>
    <d v="2026-01-21T00:00:00"/>
    <x v="1"/>
    <s v="Morning"/>
    <s v="OP_D"/>
    <s v="M301"/>
    <s v="B2044"/>
    <n v="10.0328"/>
  </r>
  <r>
    <d v="2026-01-21T00:00:00"/>
    <x v="1"/>
    <s v="Afternoon"/>
    <s v="OP_D"/>
    <s v="M101"/>
    <s v="B2045"/>
    <n v="10.0099"/>
  </r>
  <r>
    <d v="2026-01-21T00:00:00"/>
    <x v="2"/>
    <s v="Night"/>
    <s v="OP_D"/>
    <s v="M301"/>
    <s v="B2046"/>
    <n v="10.001099999999999"/>
  </r>
  <r>
    <d v="2026-01-21T00:00:00"/>
    <x v="1"/>
    <s v="Afternoon"/>
    <s v="OP_A"/>
    <s v="M301"/>
    <s v="B2047"/>
    <n v="9.9907000000000004"/>
  </r>
  <r>
    <d v="2026-01-21T00:00:00"/>
    <x v="0"/>
    <s v="Night"/>
    <s v="OP_D"/>
    <s v="M301"/>
    <s v="B2048"/>
    <n v="10.0175"/>
  </r>
  <r>
    <d v="2026-01-21T00:00:00"/>
    <x v="1"/>
    <s v="Night"/>
    <s v="OP_D"/>
    <s v="M202"/>
    <s v="B2049"/>
    <n v="10.0883"/>
  </r>
  <r>
    <d v="2026-01-22T00:00:00"/>
    <x v="0"/>
    <s v="Afternoon"/>
    <s v="OP_B"/>
    <s v="M102"/>
    <s v="B2050"/>
    <n v="10.013"/>
  </r>
  <r>
    <d v="2026-01-22T00:00:00"/>
    <x v="2"/>
    <s v="Afternoon"/>
    <s v="OP_D"/>
    <s v="M202"/>
    <s v="B2051"/>
    <n v="9.9733000000000001"/>
  </r>
  <r>
    <d v="2026-01-22T00:00:00"/>
    <x v="0"/>
    <s v="Afternoon"/>
    <s v="OP_C"/>
    <s v="M201"/>
    <s v="B2052"/>
    <n v="9.9786999999999999"/>
  </r>
  <r>
    <d v="2026-01-22T00:00:00"/>
    <x v="0"/>
    <s v="Afternoon"/>
    <s v="OP_C"/>
    <s v="M202"/>
    <s v="B2053"/>
    <n v="10.022"/>
  </r>
  <r>
    <d v="2026-01-22T00:00:00"/>
    <x v="1"/>
    <s v="Afternoon"/>
    <s v="OP_A"/>
    <s v="M202"/>
    <s v="B2054"/>
    <n v="9.9984000000000002"/>
  </r>
  <r>
    <d v="2026-01-22T00:00:00"/>
    <x v="0"/>
    <s v="Morning"/>
    <s v="OP_A"/>
    <s v="M202"/>
    <s v="B2055"/>
    <n v="10.0036"/>
  </r>
  <r>
    <d v="2026-01-22T00:00:00"/>
    <x v="1"/>
    <s v="Night"/>
    <s v="OP_A"/>
    <s v="M301"/>
    <s v="B2056"/>
    <n v="10.0113"/>
  </r>
  <r>
    <d v="2026-01-22T00:00:00"/>
    <x v="0"/>
    <s v="Afternoon"/>
    <s v="OP_D"/>
    <s v="M101"/>
    <s v="B2057"/>
    <n v="10.0139"/>
  </r>
  <r>
    <d v="2026-01-22T00:00:00"/>
    <x v="2"/>
    <s v="Morning"/>
    <s v="OP_D"/>
    <s v="M201"/>
    <s v="B2058"/>
    <n v="10.025"/>
  </r>
  <r>
    <d v="2026-01-22T00:00:00"/>
    <x v="0"/>
    <s v="Morning"/>
    <s v="OP_A"/>
    <s v="M102"/>
    <s v="B2059"/>
    <n v="9.9984000000000002"/>
  </r>
  <r>
    <d v="2026-01-22T00:00:00"/>
    <x v="2"/>
    <s v="Morning"/>
    <s v="OP_A"/>
    <s v="M101"/>
    <s v="B2060"/>
    <n v="9.9891000000000005"/>
  </r>
  <r>
    <d v="2026-01-22T00:00:00"/>
    <x v="1"/>
    <s v="Morning"/>
    <s v="OP_B"/>
    <s v="M202"/>
    <s v="B2061"/>
    <n v="9.9989000000000008"/>
  </r>
  <r>
    <d v="2026-01-22T00:00:00"/>
    <x v="2"/>
    <s v="Afternoon"/>
    <s v="OP_B"/>
    <s v="M102"/>
    <s v="B2062"/>
    <n v="9.9687000000000001"/>
  </r>
  <r>
    <d v="2026-01-22T00:00:00"/>
    <x v="1"/>
    <s v="Afternoon"/>
    <s v="OP_D"/>
    <s v="M201"/>
    <s v="B2063"/>
    <n v="10.0017"/>
  </r>
  <r>
    <d v="2026-01-22T00:00:00"/>
    <x v="2"/>
    <s v="Morning"/>
    <s v="OP_C"/>
    <s v="M201"/>
    <s v="B2064"/>
    <n v="10.0062"/>
  </r>
  <r>
    <d v="2026-01-22T00:00:00"/>
    <x v="1"/>
    <s v="Morning"/>
    <s v="OP_D"/>
    <s v="M201"/>
    <s v="B2065"/>
    <n v="10.034599999999999"/>
  </r>
  <r>
    <d v="2026-01-22T00:00:00"/>
    <x v="1"/>
    <s v="Night"/>
    <s v="OP_A"/>
    <s v="M101"/>
    <s v="B2066"/>
    <n v="10.0107"/>
  </r>
  <r>
    <d v="2026-01-22T00:00:00"/>
    <x v="0"/>
    <s v="Morning"/>
    <s v="OP_B"/>
    <s v="M201"/>
    <s v="B2067"/>
    <n v="10.019600000000001"/>
  </r>
  <r>
    <d v="2026-01-22T00:00:00"/>
    <x v="0"/>
    <s v="Afternoon"/>
    <s v="OP_D"/>
    <s v="M202"/>
    <s v="B2068"/>
    <n v="9.9702000000000002"/>
  </r>
  <r>
    <d v="2026-01-22T00:00:00"/>
    <x v="2"/>
    <s v="Afternoon"/>
    <s v="OP_B"/>
    <s v="M202"/>
    <s v="B2069"/>
    <n v="10.007300000000001"/>
  </r>
  <r>
    <d v="2026-01-22T00:00:00"/>
    <x v="1"/>
    <s v="Morning"/>
    <s v="OP_B"/>
    <s v="M201"/>
    <s v="B2070"/>
    <n v="10.012600000000001"/>
  </r>
  <r>
    <d v="2026-01-22T00:00:00"/>
    <x v="1"/>
    <s v="Night"/>
    <s v="OP_B"/>
    <s v="M301"/>
    <s v="B2071"/>
    <n v="10.024100000000001"/>
  </r>
  <r>
    <d v="2026-01-22T00:00:00"/>
    <x v="2"/>
    <s v="Night"/>
    <s v="OP_D"/>
    <s v="M201"/>
    <s v="B2072"/>
    <n v="10.0101"/>
  </r>
  <r>
    <d v="2026-01-22T00:00:00"/>
    <x v="1"/>
    <s v="Morning"/>
    <s v="OP_B"/>
    <s v="M202"/>
    <s v="B2073"/>
    <n v="10.0405"/>
  </r>
  <r>
    <d v="2026-01-22T00:00:00"/>
    <x v="2"/>
    <s v="Night"/>
    <s v="OP_B"/>
    <s v="M301"/>
    <s v="B2074"/>
    <n v="10.0219"/>
  </r>
  <r>
    <d v="2026-01-22T00:00:00"/>
    <x v="2"/>
    <s v="Night"/>
    <s v="OP_D"/>
    <s v="M301"/>
    <s v="B2075"/>
    <n v="9.9955999999999996"/>
  </r>
  <r>
    <d v="2026-01-22T00:00:00"/>
    <x v="2"/>
    <s v="Morning"/>
    <s v="OP_C"/>
    <s v="M301"/>
    <s v="B2076"/>
    <n v="9.9930000000000003"/>
  </r>
  <r>
    <d v="2026-01-22T00:00:00"/>
    <x v="1"/>
    <s v="Afternoon"/>
    <s v="OP_D"/>
    <s v="M301"/>
    <s v="B2077"/>
    <n v="10.026899999999999"/>
  </r>
  <r>
    <d v="2026-01-22T00:00:00"/>
    <x v="0"/>
    <s v="Afternoon"/>
    <s v="OP_A"/>
    <s v="M202"/>
    <s v="B2078"/>
    <n v="9.9824999999999999"/>
  </r>
  <r>
    <d v="2026-01-22T00:00:00"/>
    <x v="0"/>
    <s v="Morning"/>
    <s v="OP_C"/>
    <s v="M102"/>
    <s v="B2079"/>
    <n v="10.025700000000001"/>
  </r>
  <r>
    <d v="2026-01-22T00:00:00"/>
    <x v="1"/>
    <s v="Afternoon"/>
    <s v="OP_D"/>
    <s v="M301"/>
    <s v="B2080"/>
    <n v="10.102399999999999"/>
  </r>
  <r>
    <d v="2026-01-22T00:00:00"/>
    <x v="0"/>
    <s v="Afternoon"/>
    <s v="OP_B"/>
    <s v="M102"/>
    <s v="B2081"/>
    <n v="9.9871999999999996"/>
  </r>
  <r>
    <d v="2026-01-22T00:00:00"/>
    <x v="0"/>
    <s v="Morning"/>
    <s v="OP_C"/>
    <s v="M201"/>
    <s v="B2082"/>
    <n v="9.9853000000000005"/>
  </r>
  <r>
    <d v="2026-01-22T00:00:00"/>
    <x v="1"/>
    <s v="Afternoon"/>
    <s v="OP_A"/>
    <s v="M201"/>
    <s v="B2083"/>
    <n v="10.044"/>
  </r>
  <r>
    <d v="2026-01-22T00:00:00"/>
    <x v="0"/>
    <s v="Morning"/>
    <s v="OP_B"/>
    <s v="M301"/>
    <s v="B2084"/>
    <n v="10.015599999999999"/>
  </r>
  <r>
    <d v="2026-01-22T00:00:00"/>
    <x v="1"/>
    <s v="Morning"/>
    <s v="OP_A"/>
    <s v="M101"/>
    <s v="B2085"/>
    <n v="9.9957999999999991"/>
  </r>
  <r>
    <d v="2026-01-22T00:00:00"/>
    <x v="1"/>
    <s v="Night"/>
    <s v="OP_B"/>
    <s v="M101"/>
    <s v="B2086"/>
    <n v="10.012"/>
  </r>
  <r>
    <d v="2026-01-22T00:00:00"/>
    <x v="1"/>
    <s v="Night"/>
    <s v="OP_D"/>
    <s v="M301"/>
    <s v="B2087"/>
    <n v="10.026300000000001"/>
  </r>
  <r>
    <d v="2026-01-22T00:00:00"/>
    <x v="2"/>
    <s v="Morning"/>
    <s v="OP_A"/>
    <s v="M301"/>
    <s v="B2088"/>
    <n v="10.0151"/>
  </r>
  <r>
    <d v="2026-01-22T00:00:00"/>
    <x v="1"/>
    <s v="Morning"/>
    <s v="OP_D"/>
    <s v="M202"/>
    <s v="B2089"/>
    <n v="9.9905000000000008"/>
  </r>
  <r>
    <d v="2026-01-22T00:00:00"/>
    <x v="2"/>
    <s v="Night"/>
    <s v="OP_B"/>
    <s v="M202"/>
    <s v="B2090"/>
    <n v="9.9761000000000006"/>
  </r>
  <r>
    <d v="2026-01-22T00:00:00"/>
    <x v="2"/>
    <s v="Night"/>
    <s v="OP_B"/>
    <s v="M201"/>
    <s v="B2091"/>
    <n v="10.024699999999999"/>
  </r>
  <r>
    <d v="2026-01-22T00:00:00"/>
    <x v="2"/>
    <s v="Afternoon"/>
    <s v="OP_C"/>
    <s v="M201"/>
    <s v="B2092"/>
    <n v="9.9873999999999992"/>
  </r>
  <r>
    <d v="2026-01-22T00:00:00"/>
    <x v="2"/>
    <s v="Morning"/>
    <s v="OP_D"/>
    <s v="M202"/>
    <s v="B2093"/>
    <n v="10.0098"/>
  </r>
  <r>
    <d v="2026-01-22T00:00:00"/>
    <x v="2"/>
    <s v="Night"/>
    <s v="OP_C"/>
    <s v="M102"/>
    <s v="B2094"/>
    <n v="10.0243"/>
  </r>
  <r>
    <d v="2026-01-22T00:00:00"/>
    <x v="1"/>
    <s v="Night"/>
    <s v="OP_B"/>
    <s v="M101"/>
    <s v="B2095"/>
    <n v="10.037599999999999"/>
  </r>
  <r>
    <d v="2026-01-22T00:00:00"/>
    <x v="2"/>
    <s v="Afternoon"/>
    <s v="OP_B"/>
    <s v="M301"/>
    <s v="B2096"/>
    <n v="9.9971999999999994"/>
  </r>
  <r>
    <d v="2026-01-22T00:00:00"/>
    <x v="2"/>
    <s v="Night"/>
    <s v="OP_D"/>
    <s v="M202"/>
    <s v="B2097"/>
    <n v="9.9992999999999999"/>
  </r>
  <r>
    <d v="2026-01-22T00:00:00"/>
    <x v="1"/>
    <s v="Morning"/>
    <s v="OP_D"/>
    <s v="M301"/>
    <s v="B2098"/>
    <n v="10.0078"/>
  </r>
  <r>
    <d v="2026-01-22T00:00:00"/>
    <x v="2"/>
    <s v="Morning"/>
    <s v="OP_A"/>
    <s v="M101"/>
    <s v="B2099"/>
    <n v="10.019299999999999"/>
  </r>
  <r>
    <d v="2026-01-23T00:00:00"/>
    <x v="2"/>
    <s v="Afternoon"/>
    <s v="OP_C"/>
    <s v="M202"/>
    <s v="B2100"/>
    <n v="10.014900000000001"/>
  </r>
  <r>
    <d v="2026-01-23T00:00:00"/>
    <x v="2"/>
    <s v="Morning"/>
    <s v="OP_C"/>
    <s v="M102"/>
    <s v="B2101"/>
    <n v="9.9983000000000004"/>
  </r>
  <r>
    <d v="2026-01-23T00:00:00"/>
    <x v="1"/>
    <s v="Afternoon"/>
    <s v="OP_A"/>
    <s v="M202"/>
    <s v="B2102"/>
    <n v="10.031599999999999"/>
  </r>
  <r>
    <d v="2026-01-23T00:00:00"/>
    <x v="2"/>
    <s v="Afternoon"/>
    <s v="OP_C"/>
    <s v="M101"/>
    <s v="B2103"/>
    <n v="10.0108"/>
  </r>
  <r>
    <d v="2026-01-23T00:00:00"/>
    <x v="1"/>
    <s v="Morning"/>
    <s v="OP_C"/>
    <s v="M101"/>
    <s v="B2104"/>
    <n v="9.9923999999999999"/>
  </r>
  <r>
    <d v="2026-01-23T00:00:00"/>
    <x v="0"/>
    <s v="Night"/>
    <s v="OP_D"/>
    <s v="M201"/>
    <s v="B2105"/>
    <n v="10.015599999999999"/>
  </r>
  <r>
    <d v="2026-01-23T00:00:00"/>
    <x v="2"/>
    <s v="Afternoon"/>
    <s v="OP_B"/>
    <s v="M201"/>
    <s v="B2106"/>
    <n v="9.9911999999999992"/>
  </r>
  <r>
    <d v="2026-01-23T00:00:00"/>
    <x v="1"/>
    <s v="Morning"/>
    <s v="OP_A"/>
    <s v="M202"/>
    <s v="B2107"/>
    <n v="10.0044"/>
  </r>
  <r>
    <d v="2026-01-23T00:00:00"/>
    <x v="0"/>
    <s v="Night"/>
    <s v="OP_A"/>
    <s v="M101"/>
    <s v="B2108"/>
    <n v="10.0282"/>
  </r>
  <r>
    <d v="2026-01-23T00:00:00"/>
    <x v="2"/>
    <s v="Night"/>
    <s v="OP_B"/>
    <s v="M101"/>
    <s v="B2109"/>
    <n v="10.0184"/>
  </r>
  <r>
    <d v="2026-01-23T00:00:00"/>
    <x v="2"/>
    <s v="Afternoon"/>
    <s v="OP_B"/>
    <s v="M101"/>
    <s v="B2110"/>
    <n v="9.9928000000000008"/>
  </r>
  <r>
    <d v="2026-01-23T00:00:00"/>
    <x v="1"/>
    <s v="Afternoon"/>
    <s v="OP_B"/>
    <s v="M201"/>
    <s v="B2111"/>
    <n v="10.0044"/>
  </r>
  <r>
    <d v="2026-01-23T00:00:00"/>
    <x v="0"/>
    <s v="Afternoon"/>
    <s v="OP_D"/>
    <s v="M301"/>
    <s v="B2112"/>
    <n v="10.0108"/>
  </r>
  <r>
    <d v="2026-01-23T00:00:00"/>
    <x v="0"/>
    <s v="Night"/>
    <s v="OP_B"/>
    <s v="M101"/>
    <s v="B2113"/>
    <n v="10.0145"/>
  </r>
  <r>
    <d v="2026-01-23T00:00:00"/>
    <x v="2"/>
    <s v="Morning"/>
    <s v="OP_C"/>
    <s v="M202"/>
    <s v="B2114"/>
    <n v="9.9829000000000008"/>
  </r>
  <r>
    <d v="2026-01-23T00:00:00"/>
    <x v="1"/>
    <s v="Morning"/>
    <s v="OP_C"/>
    <s v="M301"/>
    <s v="B2115"/>
    <n v="10.0252"/>
  </r>
  <r>
    <d v="2026-01-23T00:00:00"/>
    <x v="0"/>
    <s v="Morning"/>
    <s v="OP_D"/>
    <s v="M201"/>
    <s v="B2116"/>
    <n v="10.0146"/>
  </r>
  <r>
    <d v="2026-01-23T00:00:00"/>
    <x v="0"/>
    <s v="Night"/>
    <s v="OP_D"/>
    <s v="M202"/>
    <s v="B2117"/>
    <n v="9.9446999999999992"/>
  </r>
  <r>
    <d v="2026-01-23T00:00:00"/>
    <x v="0"/>
    <s v="Afternoon"/>
    <s v="OP_A"/>
    <s v="M301"/>
    <s v="B2118"/>
    <n v="9.9968000000000004"/>
  </r>
  <r>
    <d v="2026-01-23T00:00:00"/>
    <x v="1"/>
    <s v="Afternoon"/>
    <s v="OP_A"/>
    <s v="M101"/>
    <s v="B2119"/>
    <n v="10.004200000000001"/>
  </r>
  <r>
    <d v="2026-01-23T00:00:00"/>
    <x v="1"/>
    <s v="Afternoon"/>
    <s v="OP_B"/>
    <s v="M102"/>
    <s v="B2120"/>
    <n v="9.9543999999999997"/>
  </r>
  <r>
    <d v="2026-01-23T00:00:00"/>
    <x v="0"/>
    <s v="Morning"/>
    <s v="OP_A"/>
    <s v="M202"/>
    <s v="B2121"/>
    <n v="10.016999999999999"/>
  </r>
  <r>
    <d v="2026-01-23T00:00:00"/>
    <x v="2"/>
    <s v="Morning"/>
    <s v="OP_D"/>
    <s v="M301"/>
    <s v="B2122"/>
    <n v="9.9938000000000002"/>
  </r>
  <r>
    <d v="2026-01-23T00:00:00"/>
    <x v="2"/>
    <s v="Morning"/>
    <s v="OP_D"/>
    <s v="M201"/>
    <s v="B2123"/>
    <n v="9.9854000000000003"/>
  </r>
  <r>
    <d v="2026-01-23T00:00:00"/>
    <x v="0"/>
    <s v="Morning"/>
    <s v="OP_D"/>
    <s v="M301"/>
    <s v="B2124"/>
    <n v="10.006600000000001"/>
  </r>
  <r>
    <d v="2026-01-23T00:00:00"/>
    <x v="1"/>
    <s v="Morning"/>
    <s v="OP_D"/>
    <s v="M201"/>
    <s v="B2125"/>
    <n v="10.0312"/>
  </r>
  <r>
    <d v="2026-01-23T00:00:00"/>
    <x v="1"/>
    <s v="Afternoon"/>
    <s v="OP_B"/>
    <s v="M202"/>
    <s v="B2126"/>
    <n v="9.9946999999999999"/>
  </r>
  <r>
    <d v="2026-01-23T00:00:00"/>
    <x v="2"/>
    <s v="Afternoon"/>
    <s v="OP_C"/>
    <s v="M102"/>
    <s v="B2127"/>
    <n v="9.9910999999999994"/>
  </r>
  <r>
    <d v="2026-01-23T00:00:00"/>
    <x v="0"/>
    <s v="Morning"/>
    <s v="OP_B"/>
    <s v="M101"/>
    <s v="B2128"/>
    <n v="9.9614999999999991"/>
  </r>
  <r>
    <d v="2026-01-23T00:00:00"/>
    <x v="1"/>
    <s v="Morning"/>
    <s v="OP_B"/>
    <s v="M301"/>
    <s v="B2129"/>
    <n v="9.9369999999999994"/>
  </r>
  <r>
    <d v="2026-01-23T00:00:00"/>
    <x v="2"/>
    <s v="Afternoon"/>
    <s v="OP_B"/>
    <s v="M102"/>
    <s v="B2130"/>
    <n v="9.9755000000000003"/>
  </r>
  <r>
    <d v="2026-01-23T00:00:00"/>
    <x v="0"/>
    <s v="Morning"/>
    <s v="OP_C"/>
    <s v="M102"/>
    <s v="B2131"/>
    <n v="10.007300000000001"/>
  </r>
  <r>
    <d v="2026-01-23T00:00:00"/>
    <x v="0"/>
    <s v="Night"/>
    <s v="OP_D"/>
    <s v="M201"/>
    <s v="B2132"/>
    <n v="10.007999999999999"/>
  </r>
  <r>
    <d v="2026-01-23T00:00:00"/>
    <x v="1"/>
    <s v="Morning"/>
    <s v="OP_C"/>
    <s v="M202"/>
    <s v="B2133"/>
    <n v="10.0274"/>
  </r>
  <r>
    <d v="2026-01-23T00:00:00"/>
    <x v="2"/>
    <s v="Night"/>
    <s v="OP_A"/>
    <s v="M101"/>
    <s v="B2134"/>
    <n v="9.9939999999999998"/>
  </r>
  <r>
    <d v="2026-01-23T00:00:00"/>
    <x v="0"/>
    <s v="Afternoon"/>
    <s v="OP_D"/>
    <s v="M301"/>
    <s v="B2135"/>
    <n v="9.9837000000000007"/>
  </r>
  <r>
    <d v="2026-01-23T00:00:00"/>
    <x v="1"/>
    <s v="Morning"/>
    <s v="OP_D"/>
    <s v="M101"/>
    <s v="B2136"/>
    <n v="10.006500000000001"/>
  </r>
  <r>
    <d v="2026-01-23T00:00:00"/>
    <x v="2"/>
    <s v="Night"/>
    <s v="OP_D"/>
    <s v="M301"/>
    <s v="B2137"/>
    <n v="10.0303"/>
  </r>
  <r>
    <d v="2026-01-23T00:00:00"/>
    <x v="2"/>
    <s v="Morning"/>
    <s v="OP_B"/>
    <s v="M301"/>
    <s v="B2138"/>
    <n v="10.0006"/>
  </r>
  <r>
    <d v="2026-01-23T00:00:00"/>
    <x v="2"/>
    <s v="Afternoon"/>
    <s v="OP_C"/>
    <s v="M201"/>
    <s v="B2139"/>
    <n v="9.9829000000000008"/>
  </r>
  <r>
    <d v="2026-01-23T00:00:00"/>
    <x v="2"/>
    <s v="Morning"/>
    <s v="OP_D"/>
    <s v="M102"/>
    <s v="B2140"/>
    <n v="10.0053"/>
  </r>
  <r>
    <d v="2026-01-23T00:00:00"/>
    <x v="0"/>
    <s v="Afternoon"/>
    <s v="OP_A"/>
    <s v="M102"/>
    <s v="B2141"/>
    <n v="9.9968000000000004"/>
  </r>
  <r>
    <d v="2026-01-23T00:00:00"/>
    <x v="0"/>
    <s v="Morning"/>
    <s v="OP_B"/>
    <s v="M101"/>
    <s v="B2142"/>
    <n v="9.9946999999999999"/>
  </r>
  <r>
    <d v="2026-01-23T00:00:00"/>
    <x v="1"/>
    <s v="Night"/>
    <s v="OP_C"/>
    <s v="M101"/>
    <s v="B2143"/>
    <n v="10.024699999999999"/>
  </r>
  <r>
    <d v="2026-01-23T00:00:00"/>
    <x v="1"/>
    <s v="Night"/>
    <s v="OP_A"/>
    <s v="M301"/>
    <s v="B2144"/>
    <n v="10.071199999999999"/>
  </r>
  <r>
    <d v="2026-01-23T00:00:00"/>
    <x v="1"/>
    <s v="Night"/>
    <s v="OP_A"/>
    <s v="M301"/>
    <s v="B2145"/>
    <n v="9.9792000000000005"/>
  </r>
  <r>
    <d v="2026-01-23T00:00:00"/>
    <x v="0"/>
    <s v="Night"/>
    <s v="OP_D"/>
    <s v="M301"/>
    <s v="B2146"/>
    <n v="10.0069"/>
  </r>
  <r>
    <d v="2026-01-23T00:00:00"/>
    <x v="2"/>
    <s v="Night"/>
    <s v="OP_C"/>
    <s v="M301"/>
    <s v="B2147"/>
    <n v="10.009499999999999"/>
  </r>
  <r>
    <d v="2026-01-23T00:00:00"/>
    <x v="0"/>
    <s v="Night"/>
    <s v="OP_D"/>
    <s v="M202"/>
    <s v="B2148"/>
    <n v="9.9884000000000004"/>
  </r>
  <r>
    <d v="2026-01-23T00:00:00"/>
    <x v="0"/>
    <s v="Night"/>
    <s v="OP_C"/>
    <s v="M201"/>
    <s v="B2149"/>
    <n v="9.9651999999999994"/>
  </r>
  <r>
    <d v="2026-01-24T00:00:00"/>
    <x v="2"/>
    <s v="Afternoon"/>
    <s v="OP_A"/>
    <s v="M201"/>
    <s v="B2150"/>
    <n v="10.010400000000001"/>
  </r>
  <r>
    <d v="2026-01-24T00:00:00"/>
    <x v="2"/>
    <s v="Afternoon"/>
    <s v="OP_C"/>
    <s v="M102"/>
    <s v="B2151"/>
    <n v="10.0038"/>
  </r>
  <r>
    <d v="2026-01-24T00:00:00"/>
    <x v="0"/>
    <s v="Morning"/>
    <s v="OP_D"/>
    <s v="M101"/>
    <s v="B2152"/>
    <n v="9.9963999999999995"/>
  </r>
  <r>
    <d v="2026-01-24T00:00:00"/>
    <x v="2"/>
    <s v="Morning"/>
    <s v="OP_B"/>
    <s v="M201"/>
    <s v="B2153"/>
    <n v="10.034700000000001"/>
  </r>
  <r>
    <d v="2026-01-24T00:00:00"/>
    <x v="0"/>
    <s v="Night"/>
    <s v="OP_D"/>
    <s v="M201"/>
    <s v="B2154"/>
    <n v="10.0106"/>
  </r>
  <r>
    <d v="2026-01-24T00:00:00"/>
    <x v="1"/>
    <s v="Night"/>
    <s v="OP_C"/>
    <s v="M201"/>
    <s v="B2155"/>
    <n v="10.033799999999999"/>
  </r>
  <r>
    <d v="2026-01-24T00:00:00"/>
    <x v="1"/>
    <s v="Morning"/>
    <s v="OP_A"/>
    <s v="M102"/>
    <s v="B2156"/>
    <n v="10.023099999999999"/>
  </r>
  <r>
    <d v="2026-01-24T00:00:00"/>
    <x v="0"/>
    <s v="Morning"/>
    <s v="OP_C"/>
    <s v="M101"/>
    <s v="B2157"/>
    <n v="9.9899000000000004"/>
  </r>
  <r>
    <d v="2026-01-24T00:00:00"/>
    <x v="2"/>
    <s v="Morning"/>
    <s v="OP_A"/>
    <s v="M301"/>
    <s v="B2158"/>
    <n v="9.9970999999999997"/>
  </r>
  <r>
    <d v="2026-01-24T00:00:00"/>
    <x v="0"/>
    <s v="Night"/>
    <s v="OP_A"/>
    <s v="M101"/>
    <s v="B2159"/>
    <n v="9.9962999999999997"/>
  </r>
  <r>
    <d v="2026-01-24T00:00:00"/>
    <x v="2"/>
    <s v="Morning"/>
    <s v="OP_C"/>
    <s v="M301"/>
    <s v="B2160"/>
    <n v="9.9945000000000004"/>
  </r>
  <r>
    <d v="2026-01-24T00:00:00"/>
    <x v="2"/>
    <s v="Afternoon"/>
    <s v="OP_D"/>
    <s v="M201"/>
    <s v="B2161"/>
    <n v="10.007899999999999"/>
  </r>
  <r>
    <d v="2026-01-24T00:00:00"/>
    <x v="1"/>
    <s v="Night"/>
    <s v="OP_B"/>
    <s v="M102"/>
    <s v="B2162"/>
    <n v="10.023"/>
  </r>
  <r>
    <d v="2026-01-24T00:00:00"/>
    <x v="0"/>
    <s v="Morning"/>
    <s v="OP_C"/>
    <s v="M301"/>
    <s v="B2163"/>
    <n v="10.010199999999999"/>
  </r>
  <r>
    <d v="2026-01-24T00:00:00"/>
    <x v="2"/>
    <s v="Night"/>
    <s v="OP_A"/>
    <s v="M102"/>
    <s v="B2164"/>
    <n v="10.006500000000001"/>
  </r>
  <r>
    <d v="2026-01-24T00:00:00"/>
    <x v="2"/>
    <s v="Morning"/>
    <s v="OP_D"/>
    <s v="M202"/>
    <s v="B2165"/>
    <n v="10.005800000000001"/>
  </r>
  <r>
    <d v="2026-01-24T00:00:00"/>
    <x v="2"/>
    <s v="Night"/>
    <s v="OP_B"/>
    <s v="M101"/>
    <s v="B2166"/>
    <n v="9.9659999999999993"/>
  </r>
  <r>
    <d v="2026-01-24T00:00:00"/>
    <x v="0"/>
    <s v="Night"/>
    <s v="OP_A"/>
    <s v="M301"/>
    <s v="B2167"/>
    <n v="10.0046"/>
  </r>
  <r>
    <d v="2026-01-24T00:00:00"/>
    <x v="1"/>
    <s v="Morning"/>
    <s v="OP_C"/>
    <s v="M102"/>
    <s v="B2168"/>
    <n v="10.0334"/>
  </r>
  <r>
    <d v="2026-01-24T00:00:00"/>
    <x v="0"/>
    <s v="Morning"/>
    <s v="OP_D"/>
    <s v="M301"/>
    <s v="B2169"/>
    <n v="10.0337"/>
  </r>
  <r>
    <d v="2026-01-24T00:00:00"/>
    <x v="0"/>
    <s v="Morning"/>
    <s v="OP_D"/>
    <s v="M202"/>
    <s v="B2170"/>
    <n v="10.029999999999999"/>
  </r>
  <r>
    <d v="2026-01-24T00:00:00"/>
    <x v="2"/>
    <s v="Morning"/>
    <s v="OP_C"/>
    <s v="M201"/>
    <s v="B2171"/>
    <n v="10.0343"/>
  </r>
  <r>
    <d v="2026-01-24T00:00:00"/>
    <x v="0"/>
    <s v="Afternoon"/>
    <s v="OP_C"/>
    <s v="M202"/>
    <s v="B2172"/>
    <n v="9.9861000000000004"/>
  </r>
  <r>
    <d v="2026-01-24T00:00:00"/>
    <x v="1"/>
    <s v="Morning"/>
    <s v="OP_C"/>
    <s v="M102"/>
    <s v="B2173"/>
    <n v="9.9807000000000006"/>
  </r>
  <r>
    <d v="2026-01-24T00:00:00"/>
    <x v="2"/>
    <s v="Afternoon"/>
    <s v="OP_C"/>
    <s v="M201"/>
    <s v="B2174"/>
    <n v="10.0022"/>
  </r>
  <r>
    <d v="2026-01-24T00:00:00"/>
    <x v="2"/>
    <s v="Morning"/>
    <s v="OP_C"/>
    <s v="M201"/>
    <s v="B2175"/>
    <n v="10.000400000000001"/>
  </r>
  <r>
    <d v="2026-01-24T00:00:00"/>
    <x v="2"/>
    <s v="Night"/>
    <s v="OP_A"/>
    <s v="M301"/>
    <s v="B2176"/>
    <n v="10.017099999999999"/>
  </r>
  <r>
    <d v="2026-01-24T00:00:00"/>
    <x v="2"/>
    <s v="Night"/>
    <s v="OP_C"/>
    <s v="M201"/>
    <s v="B2177"/>
    <n v="9.9770000000000003"/>
  </r>
  <r>
    <d v="2026-01-24T00:00:00"/>
    <x v="2"/>
    <s v="Morning"/>
    <s v="OP_D"/>
    <s v="M202"/>
    <s v="B2178"/>
    <n v="9.9934999999999992"/>
  </r>
  <r>
    <d v="2026-01-24T00:00:00"/>
    <x v="0"/>
    <s v="Morning"/>
    <s v="OP_B"/>
    <s v="M301"/>
    <s v="B2179"/>
    <n v="10.0024"/>
  </r>
  <r>
    <d v="2026-01-24T00:00:00"/>
    <x v="2"/>
    <s v="Afternoon"/>
    <s v="OP_C"/>
    <s v="M301"/>
    <s v="B2180"/>
    <n v="9.9908999999999999"/>
  </r>
  <r>
    <d v="2026-01-24T00:00:00"/>
    <x v="1"/>
    <s v="Afternoon"/>
    <s v="OP_C"/>
    <s v="M202"/>
    <s v="B2181"/>
    <n v="9.9928000000000008"/>
  </r>
  <r>
    <d v="2026-01-24T00:00:00"/>
    <x v="2"/>
    <s v="Afternoon"/>
    <s v="OP_D"/>
    <s v="M101"/>
    <s v="B2182"/>
    <n v="10.015599999999999"/>
  </r>
  <r>
    <d v="2026-01-24T00:00:00"/>
    <x v="2"/>
    <s v="Morning"/>
    <s v="OP_C"/>
    <s v="M301"/>
    <s v="B2183"/>
    <n v="10.0275"/>
  </r>
  <r>
    <d v="2026-01-24T00:00:00"/>
    <x v="0"/>
    <s v="Afternoon"/>
    <s v="OP_A"/>
    <s v="M101"/>
    <s v="B2184"/>
    <n v="9.9910999999999994"/>
  </r>
  <r>
    <d v="2026-01-24T00:00:00"/>
    <x v="0"/>
    <s v="Night"/>
    <s v="OP_A"/>
    <s v="M102"/>
    <s v="B2185"/>
    <n v="9.9827999999999992"/>
  </r>
  <r>
    <d v="2026-01-24T00:00:00"/>
    <x v="1"/>
    <s v="Afternoon"/>
    <s v="OP_B"/>
    <s v="M101"/>
    <s v="B2186"/>
    <n v="10.001200000000001"/>
  </r>
  <r>
    <d v="2026-01-24T00:00:00"/>
    <x v="2"/>
    <s v="Night"/>
    <s v="OP_A"/>
    <s v="M101"/>
    <s v="B2187"/>
    <n v="10.000299999999999"/>
  </r>
  <r>
    <d v="2026-01-24T00:00:00"/>
    <x v="0"/>
    <s v="Morning"/>
    <s v="OP_A"/>
    <s v="M101"/>
    <s v="B2188"/>
    <n v="10.023099999999999"/>
  </r>
  <r>
    <d v="2026-01-24T00:00:00"/>
    <x v="2"/>
    <s v="Afternoon"/>
    <s v="OP_C"/>
    <s v="M201"/>
    <s v="B2189"/>
    <n v="9.9937000000000005"/>
  </r>
  <r>
    <d v="2026-01-24T00:00:00"/>
    <x v="1"/>
    <s v="Morning"/>
    <s v="OP_C"/>
    <s v="M102"/>
    <s v="B2190"/>
    <n v="10.006600000000001"/>
  </r>
  <r>
    <d v="2026-01-24T00:00:00"/>
    <x v="1"/>
    <s v="Afternoon"/>
    <s v="OP_B"/>
    <s v="M101"/>
    <s v="B2191"/>
    <n v="10.0116"/>
  </r>
  <r>
    <d v="2026-01-24T00:00:00"/>
    <x v="1"/>
    <s v="Morning"/>
    <s v="OP_C"/>
    <s v="M201"/>
    <s v="B2192"/>
    <n v="9.9867000000000008"/>
  </r>
  <r>
    <d v="2026-01-24T00:00:00"/>
    <x v="1"/>
    <s v="Afternoon"/>
    <s v="OP_D"/>
    <s v="M201"/>
    <s v="B2193"/>
    <n v="9.9827999999999992"/>
  </r>
  <r>
    <d v="2026-01-24T00:00:00"/>
    <x v="0"/>
    <s v="Night"/>
    <s v="OP_B"/>
    <s v="M201"/>
    <s v="B2194"/>
    <n v="10.008699999999999"/>
  </r>
  <r>
    <d v="2026-01-24T00:00:00"/>
    <x v="1"/>
    <s v="Night"/>
    <s v="OP_A"/>
    <s v="M102"/>
    <s v="B2195"/>
    <n v="9.9588000000000001"/>
  </r>
  <r>
    <d v="2026-01-24T00:00:00"/>
    <x v="0"/>
    <s v="Morning"/>
    <s v="OP_C"/>
    <s v="M201"/>
    <s v="B2196"/>
    <n v="10.0143"/>
  </r>
  <r>
    <d v="2026-01-24T00:00:00"/>
    <x v="1"/>
    <s v="Night"/>
    <s v="OP_D"/>
    <s v="M101"/>
    <s v="B2197"/>
    <n v="9.9992000000000001"/>
  </r>
  <r>
    <d v="2026-01-24T00:00:00"/>
    <x v="2"/>
    <s v="Night"/>
    <s v="OP_B"/>
    <s v="M301"/>
    <s v="B2198"/>
    <n v="10.0077"/>
  </r>
  <r>
    <d v="2026-01-24T00:00:00"/>
    <x v="0"/>
    <s v="Night"/>
    <s v="OP_D"/>
    <s v="M102"/>
    <s v="B2199"/>
    <n v="10.0038"/>
  </r>
  <r>
    <d v="2026-01-25T00:00:00"/>
    <x v="1"/>
    <s v="Night"/>
    <s v="OP_C"/>
    <s v="M201"/>
    <s v="B2200"/>
    <n v="9.9812999999999992"/>
  </r>
  <r>
    <d v="2026-01-25T00:00:00"/>
    <x v="0"/>
    <s v="Morning"/>
    <s v="OP_A"/>
    <s v="M301"/>
    <s v="B2201"/>
    <n v="9.9879999999999995"/>
  </r>
  <r>
    <d v="2026-01-25T00:00:00"/>
    <x v="1"/>
    <s v="Afternoon"/>
    <s v="OP_C"/>
    <s v="M101"/>
    <s v="B2202"/>
    <n v="10.001099999999999"/>
  </r>
  <r>
    <d v="2026-01-25T00:00:00"/>
    <x v="1"/>
    <s v="Afternoon"/>
    <s v="OP_C"/>
    <s v="M201"/>
    <s v="B2203"/>
    <n v="9.9801000000000002"/>
  </r>
  <r>
    <d v="2026-01-25T00:00:00"/>
    <x v="1"/>
    <s v="Morning"/>
    <s v="OP_B"/>
    <s v="M102"/>
    <s v="B2204"/>
    <n v="10.0016"/>
  </r>
  <r>
    <d v="2026-01-25T00:00:00"/>
    <x v="1"/>
    <s v="Night"/>
    <s v="OP_A"/>
    <s v="M201"/>
    <s v="B2205"/>
    <n v="10.008599999999999"/>
  </r>
  <r>
    <d v="2026-01-25T00:00:00"/>
    <x v="1"/>
    <s v="Night"/>
    <s v="OP_B"/>
    <s v="M202"/>
    <s v="B2206"/>
    <n v="10.0238"/>
  </r>
  <r>
    <d v="2026-01-25T00:00:00"/>
    <x v="1"/>
    <s v="Night"/>
    <s v="OP_C"/>
    <s v="M102"/>
    <s v="B2207"/>
    <n v="10.0534"/>
  </r>
  <r>
    <d v="2026-01-25T00:00:00"/>
    <x v="1"/>
    <s v="Morning"/>
    <s v="OP_A"/>
    <s v="M201"/>
    <s v="B2208"/>
    <n v="9.9766999999999992"/>
  </r>
  <r>
    <d v="2026-01-25T00:00:00"/>
    <x v="0"/>
    <s v="Afternoon"/>
    <s v="OP_A"/>
    <s v="M101"/>
    <s v="B2209"/>
    <n v="9.9967000000000006"/>
  </r>
  <r>
    <d v="2026-01-25T00:00:00"/>
    <x v="0"/>
    <s v="Afternoon"/>
    <s v="OP_A"/>
    <s v="M202"/>
    <s v="B2210"/>
    <n v="10.0246"/>
  </r>
  <r>
    <d v="2026-01-25T00:00:00"/>
    <x v="2"/>
    <s v="Afternoon"/>
    <s v="OP_C"/>
    <s v="M301"/>
    <s v="B2211"/>
    <n v="9.9880999999999993"/>
  </r>
  <r>
    <d v="2026-01-25T00:00:00"/>
    <x v="0"/>
    <s v="Night"/>
    <s v="OP_C"/>
    <s v="M101"/>
    <s v="B2212"/>
    <n v="9.9948999999999995"/>
  </r>
  <r>
    <d v="2026-01-25T00:00:00"/>
    <x v="1"/>
    <s v="Night"/>
    <s v="OP_A"/>
    <s v="M201"/>
    <s v="B2213"/>
    <n v="10.083"/>
  </r>
  <r>
    <d v="2026-01-25T00:00:00"/>
    <x v="0"/>
    <s v="Morning"/>
    <s v="OP_A"/>
    <s v="M202"/>
    <s v="B2214"/>
    <n v="10.0093"/>
  </r>
  <r>
    <d v="2026-01-25T00:00:00"/>
    <x v="0"/>
    <s v="Night"/>
    <s v="OP_B"/>
    <s v="M201"/>
    <s v="B2215"/>
    <n v="9.9854000000000003"/>
  </r>
  <r>
    <d v="2026-01-25T00:00:00"/>
    <x v="2"/>
    <s v="Afternoon"/>
    <s v="OP_B"/>
    <s v="M201"/>
    <s v="B2216"/>
    <n v="9.9741"/>
  </r>
  <r>
    <d v="2026-01-25T00:00:00"/>
    <x v="2"/>
    <s v="Afternoon"/>
    <s v="OP_B"/>
    <s v="M201"/>
    <s v="B2217"/>
    <n v="9.9646000000000008"/>
  </r>
  <r>
    <d v="2026-01-25T00:00:00"/>
    <x v="1"/>
    <s v="Night"/>
    <s v="OP_B"/>
    <s v="M101"/>
    <s v="B2218"/>
    <n v="10.0047"/>
  </r>
  <r>
    <d v="2026-01-25T00:00:00"/>
    <x v="1"/>
    <s v="Morning"/>
    <s v="OP_A"/>
    <s v="M201"/>
    <s v="B2219"/>
    <n v="10.005100000000001"/>
  </r>
  <r>
    <d v="2026-01-25T00:00:00"/>
    <x v="2"/>
    <s v="Afternoon"/>
    <s v="OP_D"/>
    <s v="M202"/>
    <s v="B2220"/>
    <n v="9.9807000000000006"/>
  </r>
  <r>
    <d v="2026-01-25T00:00:00"/>
    <x v="0"/>
    <s v="Afternoon"/>
    <s v="OP_D"/>
    <s v="M101"/>
    <s v="B2221"/>
    <n v="9.9977"/>
  </r>
  <r>
    <d v="2026-01-25T00:00:00"/>
    <x v="2"/>
    <s v="Night"/>
    <s v="OP_C"/>
    <s v="M301"/>
    <s v="B2222"/>
    <n v="9.9895999999999994"/>
  </r>
  <r>
    <d v="2026-01-25T00:00:00"/>
    <x v="0"/>
    <s v="Night"/>
    <s v="OP_B"/>
    <s v="M202"/>
    <s v="B2223"/>
    <n v="10.015700000000001"/>
  </r>
  <r>
    <d v="2026-01-25T00:00:00"/>
    <x v="2"/>
    <s v="Morning"/>
    <s v="OP_C"/>
    <s v="M102"/>
    <s v="B2224"/>
    <n v="9.9986999999999995"/>
  </r>
  <r>
    <d v="2026-01-25T00:00:00"/>
    <x v="1"/>
    <s v="Night"/>
    <s v="OP_B"/>
    <s v="M101"/>
    <s v="B2225"/>
    <n v="10.0631"/>
  </r>
  <r>
    <d v="2026-01-25T00:00:00"/>
    <x v="1"/>
    <s v="Morning"/>
    <s v="OP_A"/>
    <s v="M201"/>
    <s v="B2226"/>
    <n v="10.030799999999999"/>
  </r>
  <r>
    <d v="2026-01-25T00:00:00"/>
    <x v="2"/>
    <s v="Night"/>
    <s v="OP_D"/>
    <s v="M201"/>
    <s v="B2227"/>
    <n v="10.020899999999999"/>
  </r>
  <r>
    <d v="2026-01-25T00:00:00"/>
    <x v="1"/>
    <s v="Afternoon"/>
    <s v="OP_C"/>
    <s v="M301"/>
    <s v="B2228"/>
    <n v="10.023899999999999"/>
  </r>
  <r>
    <d v="2026-01-25T00:00:00"/>
    <x v="0"/>
    <s v="Afternoon"/>
    <s v="OP_B"/>
    <s v="M101"/>
    <s v="B2229"/>
    <n v="9.9829000000000008"/>
  </r>
  <r>
    <d v="2026-01-25T00:00:00"/>
    <x v="2"/>
    <s v="Afternoon"/>
    <s v="OP_B"/>
    <s v="M301"/>
    <s v="B2230"/>
    <n v="9.9962"/>
  </r>
  <r>
    <d v="2026-01-25T00:00:00"/>
    <x v="2"/>
    <s v="Afternoon"/>
    <s v="OP_A"/>
    <s v="M201"/>
    <s v="B2231"/>
    <n v="9.9680999999999997"/>
  </r>
  <r>
    <d v="2026-01-25T00:00:00"/>
    <x v="1"/>
    <s v="Morning"/>
    <s v="OP_A"/>
    <s v="M201"/>
    <s v="B2232"/>
    <n v="10.041700000000001"/>
  </r>
  <r>
    <d v="2026-01-25T00:00:00"/>
    <x v="2"/>
    <s v="Night"/>
    <s v="OP_B"/>
    <s v="M301"/>
    <s v="B2233"/>
    <n v="9.9815000000000005"/>
  </r>
  <r>
    <d v="2026-01-25T00:00:00"/>
    <x v="0"/>
    <s v="Night"/>
    <s v="OP_D"/>
    <s v="M201"/>
    <s v="B2234"/>
    <n v="9.9611000000000001"/>
  </r>
  <r>
    <d v="2026-01-25T00:00:00"/>
    <x v="0"/>
    <s v="Night"/>
    <s v="OP_C"/>
    <s v="M301"/>
    <s v="B2235"/>
    <n v="10.0131"/>
  </r>
  <r>
    <d v="2026-01-25T00:00:00"/>
    <x v="1"/>
    <s v="Afternoon"/>
    <s v="OP_C"/>
    <s v="M201"/>
    <s v="B2236"/>
    <n v="10.036099999999999"/>
  </r>
  <r>
    <d v="2026-01-25T00:00:00"/>
    <x v="2"/>
    <s v="Afternoon"/>
    <s v="OP_A"/>
    <s v="M301"/>
    <s v="B2237"/>
    <n v="9.9971999999999994"/>
  </r>
  <r>
    <d v="2026-01-25T00:00:00"/>
    <x v="0"/>
    <s v="Morning"/>
    <s v="OP_A"/>
    <s v="M101"/>
    <s v="B2238"/>
    <n v="10.015499999999999"/>
  </r>
  <r>
    <d v="2026-01-25T00:00:00"/>
    <x v="0"/>
    <s v="Night"/>
    <s v="OP_A"/>
    <s v="M301"/>
    <s v="B2239"/>
    <n v="9.9662000000000006"/>
  </r>
  <r>
    <d v="2026-01-25T00:00:00"/>
    <x v="0"/>
    <s v="Afternoon"/>
    <s v="OP_D"/>
    <s v="M101"/>
    <s v="B2240"/>
    <n v="9.9892000000000003"/>
  </r>
  <r>
    <d v="2026-01-25T00:00:00"/>
    <x v="0"/>
    <s v="Afternoon"/>
    <s v="OP_D"/>
    <s v="M102"/>
    <s v="B2241"/>
    <n v="10.017300000000001"/>
  </r>
  <r>
    <d v="2026-01-25T00:00:00"/>
    <x v="0"/>
    <s v="Morning"/>
    <s v="OP_A"/>
    <s v="M201"/>
    <s v="B2242"/>
    <n v="9.9821000000000009"/>
  </r>
  <r>
    <d v="2026-01-25T00:00:00"/>
    <x v="2"/>
    <s v="Morning"/>
    <s v="OP_A"/>
    <s v="M201"/>
    <s v="B2243"/>
    <n v="9.9766999999999992"/>
  </r>
  <r>
    <d v="2026-01-25T00:00:00"/>
    <x v="0"/>
    <s v="Afternoon"/>
    <s v="OP_C"/>
    <s v="M301"/>
    <s v="B2244"/>
    <n v="9.9795999999999996"/>
  </r>
  <r>
    <d v="2026-01-25T00:00:00"/>
    <x v="1"/>
    <s v="Night"/>
    <s v="OP_D"/>
    <s v="M301"/>
    <s v="B2245"/>
    <n v="9.9914000000000005"/>
  </r>
  <r>
    <d v="2026-01-25T00:00:00"/>
    <x v="0"/>
    <s v="Afternoon"/>
    <s v="OP_B"/>
    <s v="M202"/>
    <s v="B2246"/>
    <n v="10.0138"/>
  </r>
  <r>
    <d v="2026-01-25T00:00:00"/>
    <x v="1"/>
    <s v="Afternoon"/>
    <s v="OP_C"/>
    <s v="M301"/>
    <s v="B2247"/>
    <n v="9.9821000000000009"/>
  </r>
  <r>
    <d v="2026-01-25T00:00:00"/>
    <x v="0"/>
    <s v="Afternoon"/>
    <s v="OP_C"/>
    <s v="M102"/>
    <s v="B2248"/>
    <n v="9.9730000000000008"/>
  </r>
  <r>
    <d v="2026-01-25T00:00:00"/>
    <x v="1"/>
    <s v="Night"/>
    <s v="OP_D"/>
    <s v="M301"/>
    <s v="B2249"/>
    <n v="10.0586"/>
  </r>
  <r>
    <d v="2026-01-26T00:00:00"/>
    <x v="1"/>
    <s v="Morning"/>
    <s v="OP_B"/>
    <s v="M202"/>
    <s v="B2250"/>
    <n v="10.073"/>
  </r>
  <r>
    <d v="2026-01-26T00:00:00"/>
    <x v="2"/>
    <s v="Afternoon"/>
    <s v="OP_A"/>
    <s v="M301"/>
    <s v="B2251"/>
    <n v="9.9967000000000006"/>
  </r>
  <r>
    <d v="2026-01-26T00:00:00"/>
    <x v="2"/>
    <s v="Night"/>
    <s v="OP_C"/>
    <s v="M201"/>
    <s v="B2252"/>
    <n v="9.9586000000000006"/>
  </r>
  <r>
    <d v="2026-01-26T00:00:00"/>
    <x v="2"/>
    <s v="Afternoon"/>
    <s v="OP_B"/>
    <s v="M301"/>
    <s v="B2253"/>
    <n v="9.9614999999999991"/>
  </r>
  <r>
    <d v="2026-01-26T00:00:00"/>
    <x v="2"/>
    <s v="Night"/>
    <s v="OP_C"/>
    <s v="M101"/>
    <s v="B2254"/>
    <n v="9.9901999999999997"/>
  </r>
  <r>
    <d v="2026-01-26T00:00:00"/>
    <x v="0"/>
    <s v="Night"/>
    <s v="OP_B"/>
    <s v="M202"/>
    <s v="B2255"/>
    <n v="10.0221"/>
  </r>
  <r>
    <d v="2026-01-26T00:00:00"/>
    <x v="1"/>
    <s v="Night"/>
    <s v="OP_C"/>
    <s v="M101"/>
    <s v="B2256"/>
    <n v="10.006500000000001"/>
  </r>
  <r>
    <d v="2026-01-26T00:00:00"/>
    <x v="0"/>
    <s v="Night"/>
    <s v="OP_C"/>
    <s v="M101"/>
    <s v="B2257"/>
    <n v="10.012499999999999"/>
  </r>
  <r>
    <d v="2026-01-26T00:00:00"/>
    <x v="2"/>
    <s v="Night"/>
    <s v="OP_B"/>
    <s v="M202"/>
    <s v="B2258"/>
    <n v="10.006500000000001"/>
  </r>
  <r>
    <d v="2026-01-26T00:00:00"/>
    <x v="0"/>
    <s v="Night"/>
    <s v="OP_A"/>
    <s v="M101"/>
    <s v="B2259"/>
    <n v="10.009499999999999"/>
  </r>
  <r>
    <d v="2026-01-26T00:00:00"/>
    <x v="0"/>
    <s v="Night"/>
    <s v="OP_C"/>
    <s v="M301"/>
    <s v="B2260"/>
    <n v="9.9928000000000008"/>
  </r>
  <r>
    <d v="2026-01-26T00:00:00"/>
    <x v="0"/>
    <s v="Afternoon"/>
    <s v="OP_C"/>
    <s v="M201"/>
    <s v="B2261"/>
    <n v="10.0221"/>
  </r>
  <r>
    <d v="2026-01-26T00:00:00"/>
    <x v="2"/>
    <s v="Night"/>
    <s v="OP_C"/>
    <s v="M101"/>
    <s v="B2262"/>
    <n v="9.9740000000000002"/>
  </r>
  <r>
    <d v="2026-01-26T00:00:00"/>
    <x v="2"/>
    <s v="Night"/>
    <s v="OP_A"/>
    <s v="M102"/>
    <s v="B2263"/>
    <n v="9.9910999999999994"/>
  </r>
  <r>
    <d v="2026-01-26T00:00:00"/>
    <x v="0"/>
    <s v="Afternoon"/>
    <s v="OP_C"/>
    <s v="M102"/>
    <s v="B2264"/>
    <n v="9.9816000000000003"/>
  </r>
  <r>
    <d v="2026-01-26T00:00:00"/>
    <x v="1"/>
    <s v="Afternoon"/>
    <s v="OP_A"/>
    <s v="M102"/>
    <s v="B2265"/>
    <n v="10.034800000000001"/>
  </r>
  <r>
    <d v="2026-01-26T00:00:00"/>
    <x v="1"/>
    <s v="Morning"/>
    <s v="OP_A"/>
    <s v="M202"/>
    <s v="B2266"/>
    <n v="9.9986999999999995"/>
  </r>
  <r>
    <d v="2026-01-26T00:00:00"/>
    <x v="0"/>
    <s v="Night"/>
    <s v="OP_D"/>
    <s v="M102"/>
    <s v="B2267"/>
    <n v="9.9978999999999996"/>
  </r>
  <r>
    <d v="2026-01-26T00:00:00"/>
    <x v="2"/>
    <s v="Afternoon"/>
    <s v="OP_C"/>
    <s v="M101"/>
    <s v="B2268"/>
    <n v="9.9740000000000002"/>
  </r>
  <r>
    <d v="2026-01-26T00:00:00"/>
    <x v="0"/>
    <s v="Morning"/>
    <s v="OP_D"/>
    <s v="M202"/>
    <s v="B2269"/>
    <n v="10.0129"/>
  </r>
  <r>
    <d v="2026-01-26T00:00:00"/>
    <x v="2"/>
    <s v="Morning"/>
    <s v="OP_B"/>
    <s v="M102"/>
    <s v="B2270"/>
    <n v="10.0024"/>
  </r>
  <r>
    <d v="2026-01-26T00:00:00"/>
    <x v="1"/>
    <s v="Morning"/>
    <s v="OP_A"/>
    <s v="M101"/>
    <s v="B2271"/>
    <n v="9.9868000000000006"/>
  </r>
  <r>
    <d v="2026-01-26T00:00:00"/>
    <x v="2"/>
    <s v="Night"/>
    <s v="OP_D"/>
    <s v="M102"/>
    <s v="B2272"/>
    <n v="10.0206"/>
  </r>
  <r>
    <d v="2026-01-26T00:00:00"/>
    <x v="2"/>
    <s v="Morning"/>
    <s v="OP_A"/>
    <s v="M202"/>
    <s v="B2273"/>
    <n v="9.9794999999999998"/>
  </r>
  <r>
    <d v="2026-01-26T00:00:00"/>
    <x v="1"/>
    <s v="Night"/>
    <s v="OP_B"/>
    <s v="M202"/>
    <s v="B2274"/>
    <n v="10.049899999999999"/>
  </r>
  <r>
    <d v="2026-01-26T00:00:00"/>
    <x v="2"/>
    <s v="Night"/>
    <s v="OP_B"/>
    <s v="M201"/>
    <s v="B2275"/>
    <n v="10.0175"/>
  </r>
  <r>
    <d v="2026-01-26T00:00:00"/>
    <x v="2"/>
    <s v="Morning"/>
    <s v="OP_A"/>
    <s v="M202"/>
    <s v="B2276"/>
    <n v="10.0229"/>
  </r>
  <r>
    <d v="2026-01-26T00:00:00"/>
    <x v="0"/>
    <s v="Night"/>
    <s v="OP_C"/>
    <s v="M202"/>
    <s v="B2277"/>
    <n v="9.9916"/>
  </r>
  <r>
    <d v="2026-01-26T00:00:00"/>
    <x v="2"/>
    <s v="Afternoon"/>
    <s v="OP_D"/>
    <s v="M201"/>
    <s v="B2278"/>
    <n v="10.017300000000001"/>
  </r>
  <r>
    <d v="2026-01-26T00:00:00"/>
    <x v="0"/>
    <s v="Afternoon"/>
    <s v="OP_C"/>
    <s v="M101"/>
    <s v="B2279"/>
    <n v="10.005800000000001"/>
  </r>
  <r>
    <d v="2026-01-26T00:00:00"/>
    <x v="0"/>
    <s v="Afternoon"/>
    <s v="OP_B"/>
    <s v="M301"/>
    <s v="B2280"/>
    <n v="10.0009"/>
  </r>
  <r>
    <d v="2026-01-26T00:00:00"/>
    <x v="0"/>
    <s v="Morning"/>
    <s v="OP_D"/>
    <s v="M101"/>
    <s v="B2281"/>
    <n v="10.0017"/>
  </r>
  <r>
    <d v="2026-01-26T00:00:00"/>
    <x v="2"/>
    <s v="Morning"/>
    <s v="OP_C"/>
    <s v="M201"/>
    <s v="B2282"/>
    <n v="10.014200000000001"/>
  </r>
  <r>
    <d v="2026-01-26T00:00:00"/>
    <x v="1"/>
    <s v="Morning"/>
    <s v="OP_D"/>
    <s v="M102"/>
    <s v="B2283"/>
    <n v="10.045400000000001"/>
  </r>
  <r>
    <d v="2026-01-26T00:00:00"/>
    <x v="0"/>
    <s v="Night"/>
    <s v="OP_C"/>
    <s v="M202"/>
    <s v="B2284"/>
    <n v="10.014099999999999"/>
  </r>
  <r>
    <d v="2026-01-26T00:00:00"/>
    <x v="2"/>
    <s v="Night"/>
    <s v="OP_A"/>
    <s v="M201"/>
    <s v="B2285"/>
    <n v="9.9794999999999998"/>
  </r>
  <r>
    <d v="2026-01-26T00:00:00"/>
    <x v="0"/>
    <s v="Morning"/>
    <s v="OP_B"/>
    <s v="M201"/>
    <s v="B2286"/>
    <n v="10.016299999999999"/>
  </r>
  <r>
    <d v="2026-01-26T00:00:00"/>
    <x v="0"/>
    <s v="Night"/>
    <s v="OP_A"/>
    <s v="M201"/>
    <s v="B2287"/>
    <n v="9.9815000000000005"/>
  </r>
  <r>
    <d v="2026-01-26T00:00:00"/>
    <x v="0"/>
    <s v="Morning"/>
    <s v="OP_A"/>
    <s v="M301"/>
    <s v="B2288"/>
    <n v="10.0016"/>
  </r>
  <r>
    <d v="2026-01-26T00:00:00"/>
    <x v="1"/>
    <s v="Morning"/>
    <s v="OP_D"/>
    <s v="M201"/>
    <s v="B2289"/>
    <n v="10.010999999999999"/>
  </r>
  <r>
    <d v="2026-01-26T00:00:00"/>
    <x v="1"/>
    <s v="Morning"/>
    <s v="OP_C"/>
    <s v="M301"/>
    <s v="B2290"/>
    <n v="10.0313"/>
  </r>
  <r>
    <d v="2026-01-26T00:00:00"/>
    <x v="0"/>
    <s v="Night"/>
    <s v="OP_A"/>
    <s v="M202"/>
    <s v="B2291"/>
    <n v="10.024100000000001"/>
  </r>
  <r>
    <d v="2026-01-26T00:00:00"/>
    <x v="0"/>
    <s v="Night"/>
    <s v="OP_D"/>
    <s v="M101"/>
    <s v="B2292"/>
    <n v="9.9952000000000005"/>
  </r>
  <r>
    <d v="2026-01-26T00:00:00"/>
    <x v="1"/>
    <s v="Night"/>
    <s v="OP_C"/>
    <s v="M202"/>
    <s v="B2293"/>
    <n v="10.048999999999999"/>
  </r>
  <r>
    <d v="2026-01-26T00:00:00"/>
    <x v="2"/>
    <s v="Night"/>
    <s v="OP_B"/>
    <s v="M101"/>
    <s v="B2294"/>
    <n v="9.9941999999999993"/>
  </r>
  <r>
    <d v="2026-01-26T00:00:00"/>
    <x v="1"/>
    <s v="Afternoon"/>
    <s v="OP_B"/>
    <s v="M201"/>
    <s v="B2295"/>
    <n v="9.9770000000000003"/>
  </r>
  <r>
    <d v="2026-01-26T00:00:00"/>
    <x v="2"/>
    <s v="Afternoon"/>
    <s v="OP_A"/>
    <s v="M101"/>
    <s v="B2296"/>
    <n v="9.9908999999999999"/>
  </r>
  <r>
    <d v="2026-01-26T00:00:00"/>
    <x v="1"/>
    <s v="Afternoon"/>
    <s v="OP_D"/>
    <s v="M102"/>
    <s v="B2297"/>
    <n v="10.051399999999999"/>
  </r>
  <r>
    <d v="2026-01-26T00:00:00"/>
    <x v="2"/>
    <s v="Morning"/>
    <s v="OP_D"/>
    <s v="M102"/>
    <s v="B2298"/>
    <n v="9.9930000000000003"/>
  </r>
  <r>
    <d v="2026-01-26T00:00:00"/>
    <x v="1"/>
    <s v="Afternoon"/>
    <s v="OP_C"/>
    <s v="M102"/>
    <s v="B2299"/>
    <n v="10.0276"/>
  </r>
  <r>
    <d v="2026-01-27T00:00:00"/>
    <x v="2"/>
    <s v="Morning"/>
    <s v="OP_B"/>
    <s v="M101"/>
    <s v="B2300"/>
    <n v="9.9700000000000006"/>
  </r>
  <r>
    <d v="2026-01-27T00:00:00"/>
    <x v="2"/>
    <s v="Morning"/>
    <s v="OP_B"/>
    <s v="M202"/>
    <s v="B2301"/>
    <n v="10.0168"/>
  </r>
  <r>
    <d v="2026-01-27T00:00:00"/>
    <x v="0"/>
    <s v="Night"/>
    <s v="OP_A"/>
    <s v="M202"/>
    <s v="B2302"/>
    <n v="10.0185"/>
  </r>
  <r>
    <d v="2026-01-27T00:00:00"/>
    <x v="0"/>
    <s v="Night"/>
    <s v="OP_C"/>
    <s v="M202"/>
    <s v="B2303"/>
    <n v="9.9931999999999999"/>
  </r>
  <r>
    <d v="2026-01-27T00:00:00"/>
    <x v="0"/>
    <s v="Afternoon"/>
    <s v="OP_D"/>
    <s v="M101"/>
    <s v="B2304"/>
    <n v="10.024800000000001"/>
  </r>
  <r>
    <d v="2026-01-27T00:00:00"/>
    <x v="1"/>
    <s v="Afternoon"/>
    <s v="OP_A"/>
    <s v="M102"/>
    <s v="B2305"/>
    <n v="10.0334"/>
  </r>
  <r>
    <d v="2026-01-27T00:00:00"/>
    <x v="0"/>
    <s v="Morning"/>
    <s v="OP_D"/>
    <s v="M201"/>
    <s v="B2306"/>
    <n v="10.0237"/>
  </r>
  <r>
    <d v="2026-01-27T00:00:00"/>
    <x v="0"/>
    <s v="Night"/>
    <s v="OP_A"/>
    <s v="M202"/>
    <s v="B2307"/>
    <n v="10.017799999999999"/>
  </r>
  <r>
    <d v="2026-01-27T00:00:00"/>
    <x v="0"/>
    <s v="Night"/>
    <s v="OP_B"/>
    <s v="M202"/>
    <s v="B2308"/>
    <n v="9.9837000000000007"/>
  </r>
  <r>
    <d v="2026-01-27T00:00:00"/>
    <x v="0"/>
    <s v="Morning"/>
    <s v="OP_A"/>
    <s v="M202"/>
    <s v="B2309"/>
    <n v="9.9529999999999994"/>
  </r>
  <r>
    <d v="2026-01-27T00:00:00"/>
    <x v="1"/>
    <s v="Afternoon"/>
    <s v="OP_D"/>
    <s v="M301"/>
    <s v="B2310"/>
    <n v="10.0116"/>
  </r>
  <r>
    <d v="2026-01-27T00:00:00"/>
    <x v="1"/>
    <s v="Night"/>
    <s v="OP_C"/>
    <s v="M101"/>
    <s v="B2311"/>
    <n v="9.9817"/>
  </r>
  <r>
    <d v="2026-01-27T00:00:00"/>
    <x v="0"/>
    <s v="Morning"/>
    <s v="OP_D"/>
    <s v="M201"/>
    <s v="B2312"/>
    <n v="10.0139"/>
  </r>
  <r>
    <d v="2026-01-27T00:00:00"/>
    <x v="0"/>
    <s v="Night"/>
    <s v="OP_C"/>
    <s v="M301"/>
    <s v="B2313"/>
    <n v="10.0321"/>
  </r>
  <r>
    <d v="2026-01-27T00:00:00"/>
    <x v="1"/>
    <s v="Morning"/>
    <s v="OP_C"/>
    <s v="M101"/>
    <s v="B2314"/>
    <n v="10.066599999999999"/>
  </r>
  <r>
    <d v="2026-01-27T00:00:00"/>
    <x v="0"/>
    <s v="Morning"/>
    <s v="OP_A"/>
    <s v="M101"/>
    <s v="B2315"/>
    <n v="10.009600000000001"/>
  </r>
  <r>
    <d v="2026-01-27T00:00:00"/>
    <x v="1"/>
    <s v="Afternoon"/>
    <s v="OP_C"/>
    <s v="M101"/>
    <s v="B2316"/>
    <n v="10.062900000000001"/>
  </r>
  <r>
    <d v="2026-01-27T00:00:00"/>
    <x v="2"/>
    <s v="Morning"/>
    <s v="OP_D"/>
    <s v="M101"/>
    <s v="B2317"/>
    <n v="9.9864999999999995"/>
  </r>
  <r>
    <d v="2026-01-27T00:00:00"/>
    <x v="1"/>
    <s v="Morning"/>
    <s v="OP_A"/>
    <s v="M201"/>
    <s v="B2318"/>
    <n v="10.0045"/>
  </r>
  <r>
    <d v="2026-01-27T00:00:00"/>
    <x v="2"/>
    <s v="Night"/>
    <s v="OP_D"/>
    <s v="M202"/>
    <s v="B2319"/>
    <n v="10.010300000000001"/>
  </r>
  <r>
    <d v="2026-01-27T00:00:00"/>
    <x v="1"/>
    <s v="Morning"/>
    <s v="OP_C"/>
    <s v="M202"/>
    <s v="B2320"/>
    <n v="10.014799999999999"/>
  </r>
  <r>
    <d v="2026-01-27T00:00:00"/>
    <x v="1"/>
    <s v="Night"/>
    <s v="OP_D"/>
    <s v="M102"/>
    <s v="B2321"/>
    <n v="10.0029"/>
  </r>
  <r>
    <d v="2026-01-27T00:00:00"/>
    <x v="1"/>
    <s v="Morning"/>
    <s v="OP_D"/>
    <s v="M101"/>
    <s v="B2322"/>
    <n v="10.005699999999999"/>
  </r>
  <r>
    <d v="2026-01-27T00:00:00"/>
    <x v="2"/>
    <s v="Night"/>
    <s v="OP_D"/>
    <s v="M301"/>
    <s v="B2323"/>
    <n v="10.0162"/>
  </r>
  <r>
    <d v="2026-01-27T00:00:00"/>
    <x v="0"/>
    <s v="Morning"/>
    <s v="OP_C"/>
    <s v="M201"/>
    <s v="B2324"/>
    <n v="9.9970999999999997"/>
  </r>
  <r>
    <d v="2026-01-27T00:00:00"/>
    <x v="0"/>
    <s v="Morning"/>
    <s v="OP_A"/>
    <s v="M101"/>
    <s v="B2325"/>
    <n v="9.9960000000000004"/>
  </r>
  <r>
    <d v="2026-01-27T00:00:00"/>
    <x v="2"/>
    <s v="Morning"/>
    <s v="OP_D"/>
    <s v="M201"/>
    <s v="B2326"/>
    <n v="10.0481"/>
  </r>
  <r>
    <d v="2026-01-27T00:00:00"/>
    <x v="2"/>
    <s v="Afternoon"/>
    <s v="OP_A"/>
    <s v="M102"/>
    <s v="B2327"/>
    <n v="10.017300000000001"/>
  </r>
  <r>
    <d v="2026-01-27T00:00:00"/>
    <x v="0"/>
    <s v="Morning"/>
    <s v="OP_C"/>
    <s v="M301"/>
    <s v="B2328"/>
    <n v="10.0153"/>
  </r>
  <r>
    <d v="2026-01-27T00:00:00"/>
    <x v="2"/>
    <s v="Night"/>
    <s v="OP_B"/>
    <s v="M101"/>
    <s v="B2329"/>
    <n v="9.9831000000000003"/>
  </r>
  <r>
    <d v="2026-01-27T00:00:00"/>
    <x v="1"/>
    <s v="Morning"/>
    <s v="OP_B"/>
    <s v="M301"/>
    <s v="B2330"/>
    <n v="10.029999999999999"/>
  </r>
  <r>
    <d v="2026-01-27T00:00:00"/>
    <x v="1"/>
    <s v="Night"/>
    <s v="OP_A"/>
    <s v="M102"/>
    <s v="B2331"/>
    <n v="9.9824000000000002"/>
  </r>
  <r>
    <d v="2026-01-27T00:00:00"/>
    <x v="1"/>
    <s v="Morning"/>
    <s v="OP_C"/>
    <s v="M202"/>
    <s v="B2332"/>
    <n v="10.100300000000001"/>
  </r>
  <r>
    <d v="2026-01-27T00:00:00"/>
    <x v="2"/>
    <s v="Night"/>
    <s v="OP_A"/>
    <s v="M102"/>
    <s v="B2333"/>
    <n v="10.004099999999999"/>
  </r>
  <r>
    <d v="2026-01-27T00:00:00"/>
    <x v="0"/>
    <s v="Morning"/>
    <s v="OP_A"/>
    <s v="M102"/>
    <s v="B2334"/>
    <n v="9.9995999999999992"/>
  </r>
  <r>
    <d v="2026-01-27T00:00:00"/>
    <x v="0"/>
    <s v="Night"/>
    <s v="OP_D"/>
    <s v="M102"/>
    <s v="B2335"/>
    <n v="9.9977999999999998"/>
  </r>
  <r>
    <d v="2026-01-27T00:00:00"/>
    <x v="2"/>
    <s v="Night"/>
    <s v="OP_C"/>
    <s v="M201"/>
    <s v="B2336"/>
    <n v="9.9718999999999998"/>
  </r>
  <r>
    <d v="2026-01-27T00:00:00"/>
    <x v="1"/>
    <s v="Night"/>
    <s v="OP_C"/>
    <s v="M102"/>
    <s v="B2337"/>
    <n v="9.9936000000000007"/>
  </r>
  <r>
    <d v="2026-01-27T00:00:00"/>
    <x v="2"/>
    <s v="Night"/>
    <s v="OP_D"/>
    <s v="M102"/>
    <s v="B2338"/>
    <n v="9.9791000000000007"/>
  </r>
  <r>
    <d v="2026-01-27T00:00:00"/>
    <x v="1"/>
    <s v="Night"/>
    <s v="OP_A"/>
    <s v="M202"/>
    <s v="B2339"/>
    <n v="10.026300000000001"/>
  </r>
  <r>
    <d v="2026-01-27T00:00:00"/>
    <x v="2"/>
    <s v="Morning"/>
    <s v="OP_A"/>
    <s v="M102"/>
    <s v="B2340"/>
    <n v="9.9883000000000006"/>
  </r>
  <r>
    <d v="2026-01-27T00:00:00"/>
    <x v="1"/>
    <s v="Morning"/>
    <s v="OP_B"/>
    <s v="M202"/>
    <s v="B2341"/>
    <n v="10.0024"/>
  </r>
  <r>
    <d v="2026-01-27T00:00:00"/>
    <x v="2"/>
    <s v="Afternoon"/>
    <s v="OP_D"/>
    <s v="M201"/>
    <s v="B2342"/>
    <n v="9.9999000000000002"/>
  </r>
  <r>
    <d v="2026-01-27T00:00:00"/>
    <x v="2"/>
    <s v="Afternoon"/>
    <s v="OP_C"/>
    <s v="M102"/>
    <s v="B2343"/>
    <n v="10.0306"/>
  </r>
  <r>
    <d v="2026-01-27T00:00:00"/>
    <x v="0"/>
    <s v="Morning"/>
    <s v="OP_D"/>
    <s v="M102"/>
    <s v="B2344"/>
    <n v="9.9894999999999996"/>
  </r>
  <r>
    <d v="2026-01-27T00:00:00"/>
    <x v="1"/>
    <s v="Morning"/>
    <s v="OP_C"/>
    <s v="M102"/>
    <s v="B2345"/>
    <n v="9.9521999999999995"/>
  </r>
  <r>
    <d v="2026-01-27T00:00:00"/>
    <x v="0"/>
    <s v="Afternoon"/>
    <s v="OP_B"/>
    <s v="M102"/>
    <s v="B2346"/>
    <n v="10.006"/>
  </r>
  <r>
    <d v="2026-01-27T00:00:00"/>
    <x v="1"/>
    <s v="Night"/>
    <s v="OP_D"/>
    <s v="M202"/>
    <s v="B2347"/>
    <n v="9.9834999999999994"/>
  </r>
  <r>
    <d v="2026-01-27T00:00:00"/>
    <x v="0"/>
    <s v="Afternoon"/>
    <s v="OP_B"/>
    <s v="M201"/>
    <s v="B2348"/>
    <n v="10.0334"/>
  </r>
  <r>
    <d v="2026-01-27T00:00:00"/>
    <x v="0"/>
    <s v="Night"/>
    <s v="OP_B"/>
    <s v="M201"/>
    <s v="B2349"/>
    <n v="9.9990000000000006"/>
  </r>
  <r>
    <d v="2026-01-28T00:00:00"/>
    <x v="0"/>
    <s v="Morning"/>
    <s v="OP_C"/>
    <s v="M202"/>
    <s v="B2350"/>
    <n v="10.0161"/>
  </r>
  <r>
    <d v="2026-01-28T00:00:00"/>
    <x v="0"/>
    <s v="Morning"/>
    <s v="OP_D"/>
    <s v="M101"/>
    <s v="B2351"/>
    <n v="10"/>
  </r>
  <r>
    <d v="2026-01-28T00:00:00"/>
    <x v="1"/>
    <s v="Afternoon"/>
    <s v="OP_D"/>
    <s v="M102"/>
    <s v="B2352"/>
    <n v="10.038500000000001"/>
  </r>
  <r>
    <d v="2026-01-28T00:00:00"/>
    <x v="1"/>
    <s v="Night"/>
    <s v="OP_D"/>
    <s v="M301"/>
    <s v="B2353"/>
    <n v="10.043900000000001"/>
  </r>
  <r>
    <d v="2026-01-28T00:00:00"/>
    <x v="2"/>
    <s v="Afternoon"/>
    <s v="OP_D"/>
    <s v="M201"/>
    <s v="B2354"/>
    <n v="10.0029"/>
  </r>
  <r>
    <d v="2026-01-28T00:00:00"/>
    <x v="0"/>
    <s v="Night"/>
    <s v="OP_D"/>
    <s v="M301"/>
    <s v="B2355"/>
    <n v="10.010999999999999"/>
  </r>
  <r>
    <d v="2026-01-28T00:00:00"/>
    <x v="1"/>
    <s v="Afternoon"/>
    <s v="OP_C"/>
    <s v="M301"/>
    <s v="B2356"/>
    <n v="9.9784000000000006"/>
  </r>
  <r>
    <d v="2026-01-28T00:00:00"/>
    <x v="1"/>
    <s v="Morning"/>
    <s v="OP_A"/>
    <s v="M201"/>
    <s v="B2357"/>
    <n v="9.9954999999999998"/>
  </r>
  <r>
    <d v="2026-01-28T00:00:00"/>
    <x v="2"/>
    <s v="Night"/>
    <s v="OP_C"/>
    <s v="M301"/>
    <s v="B2358"/>
    <n v="10.0166"/>
  </r>
  <r>
    <d v="2026-01-28T00:00:00"/>
    <x v="0"/>
    <s v="Morning"/>
    <s v="OP_C"/>
    <s v="M102"/>
    <s v="B2359"/>
    <n v="10.006399999999999"/>
  </r>
  <r>
    <d v="2026-01-28T00:00:00"/>
    <x v="1"/>
    <s v="Morning"/>
    <s v="OP_D"/>
    <s v="M201"/>
    <s v="B2360"/>
    <n v="9.9910999999999994"/>
  </r>
  <r>
    <d v="2026-01-28T00:00:00"/>
    <x v="0"/>
    <s v="Afternoon"/>
    <s v="OP_D"/>
    <s v="M301"/>
    <s v="B2361"/>
    <n v="9.9764999999999997"/>
  </r>
  <r>
    <d v="2026-01-28T00:00:00"/>
    <x v="0"/>
    <s v="Afternoon"/>
    <s v="OP_C"/>
    <s v="M202"/>
    <s v="B2362"/>
    <n v="9.9956999999999994"/>
  </r>
  <r>
    <d v="2026-01-28T00:00:00"/>
    <x v="0"/>
    <s v="Morning"/>
    <s v="OP_A"/>
    <s v="M101"/>
    <s v="B2363"/>
    <n v="10.0054"/>
  </r>
  <r>
    <d v="2026-01-28T00:00:00"/>
    <x v="0"/>
    <s v="Afternoon"/>
    <s v="OP_A"/>
    <s v="M102"/>
    <s v="B2364"/>
    <n v="10.008800000000001"/>
  </r>
  <r>
    <d v="2026-01-28T00:00:00"/>
    <x v="2"/>
    <s v="Night"/>
    <s v="OP_C"/>
    <s v="M202"/>
    <s v="B2365"/>
    <n v="10.013999999999999"/>
  </r>
  <r>
    <d v="2026-01-28T00:00:00"/>
    <x v="0"/>
    <s v="Night"/>
    <s v="OP_D"/>
    <s v="M102"/>
    <s v="B2366"/>
    <n v="9.9992999999999999"/>
  </r>
  <r>
    <d v="2026-01-28T00:00:00"/>
    <x v="1"/>
    <s v="Night"/>
    <s v="OP_B"/>
    <s v="M102"/>
    <s v="B2367"/>
    <n v="10.067500000000001"/>
  </r>
  <r>
    <d v="2026-01-28T00:00:00"/>
    <x v="1"/>
    <s v="Night"/>
    <s v="OP_A"/>
    <s v="M101"/>
    <s v="B2368"/>
    <n v="9.9692000000000007"/>
  </r>
  <r>
    <d v="2026-01-28T00:00:00"/>
    <x v="2"/>
    <s v="Afternoon"/>
    <s v="OP_B"/>
    <s v="M102"/>
    <s v="B2369"/>
    <n v="9.9989000000000008"/>
  </r>
  <r>
    <d v="2026-01-28T00:00:00"/>
    <x v="0"/>
    <s v="Afternoon"/>
    <s v="OP_A"/>
    <s v="M102"/>
    <s v="B2370"/>
    <n v="9.9962"/>
  </r>
  <r>
    <d v="2026-01-28T00:00:00"/>
    <x v="2"/>
    <s v="Morning"/>
    <s v="OP_B"/>
    <s v="M301"/>
    <s v="B2371"/>
    <n v="10.004799999999999"/>
  </r>
  <r>
    <d v="2026-01-28T00:00:00"/>
    <x v="1"/>
    <s v="Afternoon"/>
    <s v="OP_A"/>
    <s v="M101"/>
    <s v="B2372"/>
    <n v="9.9986999999999995"/>
  </r>
  <r>
    <d v="2026-01-28T00:00:00"/>
    <x v="2"/>
    <s v="Afternoon"/>
    <s v="OP_D"/>
    <s v="M301"/>
    <s v="B2373"/>
    <n v="9.9789999999999992"/>
  </r>
  <r>
    <d v="2026-01-28T00:00:00"/>
    <x v="1"/>
    <s v="Night"/>
    <s v="OP_A"/>
    <s v="M202"/>
    <s v="B2374"/>
    <n v="9.9641999999999999"/>
  </r>
  <r>
    <d v="2026-01-28T00:00:00"/>
    <x v="2"/>
    <s v="Morning"/>
    <s v="OP_A"/>
    <s v="M202"/>
    <s v="B2375"/>
    <n v="9.9992999999999999"/>
  </r>
  <r>
    <d v="2026-01-28T00:00:00"/>
    <x v="1"/>
    <s v="Morning"/>
    <s v="OP_C"/>
    <s v="M102"/>
    <s v="B2376"/>
    <n v="9.9921000000000006"/>
  </r>
  <r>
    <d v="2026-01-28T00:00:00"/>
    <x v="1"/>
    <s v="Night"/>
    <s v="OP_B"/>
    <s v="M201"/>
    <s v="B2377"/>
    <n v="10.0558"/>
  </r>
  <r>
    <d v="2026-01-28T00:00:00"/>
    <x v="1"/>
    <s v="Morning"/>
    <s v="OP_B"/>
    <s v="M301"/>
    <s v="B2378"/>
    <n v="10.000500000000001"/>
  </r>
  <r>
    <d v="2026-01-28T00:00:00"/>
    <x v="1"/>
    <s v="Morning"/>
    <s v="OP_B"/>
    <s v="M202"/>
    <s v="B2379"/>
    <n v="10.0083"/>
  </r>
  <r>
    <d v="2026-01-28T00:00:00"/>
    <x v="2"/>
    <s v="Night"/>
    <s v="OP_B"/>
    <s v="M102"/>
    <s v="B2380"/>
    <n v="9.9926999999999992"/>
  </r>
  <r>
    <d v="2026-01-28T00:00:00"/>
    <x v="1"/>
    <s v="Afternoon"/>
    <s v="OP_C"/>
    <s v="M201"/>
    <s v="B2381"/>
    <n v="9.9783000000000008"/>
  </r>
  <r>
    <d v="2026-01-28T00:00:00"/>
    <x v="1"/>
    <s v="Morning"/>
    <s v="OP_C"/>
    <s v="M101"/>
    <s v="B2382"/>
    <n v="10.009499999999999"/>
  </r>
  <r>
    <d v="2026-01-28T00:00:00"/>
    <x v="2"/>
    <s v="Night"/>
    <s v="OP_B"/>
    <s v="M101"/>
    <s v="B2383"/>
    <n v="10.0345"/>
  </r>
  <r>
    <d v="2026-01-28T00:00:00"/>
    <x v="1"/>
    <s v="Afternoon"/>
    <s v="OP_A"/>
    <s v="M301"/>
    <s v="B2384"/>
    <n v="10.0259"/>
  </r>
  <r>
    <d v="2026-01-28T00:00:00"/>
    <x v="1"/>
    <s v="Night"/>
    <s v="OP_B"/>
    <s v="M102"/>
    <s v="B2385"/>
    <n v="10.029"/>
  </r>
  <r>
    <d v="2026-01-28T00:00:00"/>
    <x v="1"/>
    <s v="Afternoon"/>
    <s v="OP_A"/>
    <s v="M301"/>
    <s v="B2386"/>
    <n v="9.9990000000000006"/>
  </r>
  <r>
    <d v="2026-01-28T00:00:00"/>
    <x v="1"/>
    <s v="Night"/>
    <s v="OP_D"/>
    <s v="M202"/>
    <s v="B2387"/>
    <n v="9.9878"/>
  </r>
  <r>
    <d v="2026-01-28T00:00:00"/>
    <x v="0"/>
    <s v="Night"/>
    <s v="OP_B"/>
    <s v="M202"/>
    <s v="B2388"/>
    <n v="9.9910999999999994"/>
  </r>
  <r>
    <d v="2026-01-28T00:00:00"/>
    <x v="0"/>
    <s v="Morning"/>
    <s v="OP_C"/>
    <s v="M201"/>
    <s v="B2389"/>
    <n v="10.017799999999999"/>
  </r>
  <r>
    <d v="2026-01-28T00:00:00"/>
    <x v="1"/>
    <s v="Afternoon"/>
    <s v="OP_D"/>
    <s v="M102"/>
    <s v="B2390"/>
    <n v="10.0076"/>
  </r>
  <r>
    <d v="2026-01-28T00:00:00"/>
    <x v="0"/>
    <s v="Morning"/>
    <s v="OP_C"/>
    <s v="M201"/>
    <s v="B2391"/>
    <n v="9.9946999999999999"/>
  </r>
  <r>
    <d v="2026-01-28T00:00:00"/>
    <x v="2"/>
    <s v="Afternoon"/>
    <s v="OP_D"/>
    <s v="M101"/>
    <s v="B2392"/>
    <n v="9.9712999999999994"/>
  </r>
  <r>
    <d v="2026-01-28T00:00:00"/>
    <x v="1"/>
    <s v="Morning"/>
    <s v="OP_B"/>
    <s v="M201"/>
    <s v="B2393"/>
    <n v="9.9991000000000003"/>
  </r>
  <r>
    <d v="2026-01-28T00:00:00"/>
    <x v="1"/>
    <s v="Afternoon"/>
    <s v="OP_C"/>
    <s v="M102"/>
    <s v="B2394"/>
    <n v="10.026899999999999"/>
  </r>
  <r>
    <d v="2026-01-28T00:00:00"/>
    <x v="0"/>
    <s v="Morning"/>
    <s v="OP_B"/>
    <s v="M202"/>
    <s v="B2395"/>
    <n v="9.9885000000000002"/>
  </r>
  <r>
    <d v="2026-01-28T00:00:00"/>
    <x v="1"/>
    <s v="Morning"/>
    <s v="OP_A"/>
    <s v="M202"/>
    <s v="B2396"/>
    <n v="10.0855"/>
  </r>
  <r>
    <d v="2026-01-28T00:00:00"/>
    <x v="2"/>
    <s v="Night"/>
    <s v="OP_C"/>
    <s v="M101"/>
    <s v="B2397"/>
    <n v="9.9757999999999996"/>
  </r>
  <r>
    <d v="2026-01-28T00:00:00"/>
    <x v="2"/>
    <s v="Night"/>
    <s v="OP_B"/>
    <s v="M102"/>
    <s v="B2398"/>
    <n v="9.9796999999999993"/>
  </r>
  <r>
    <d v="2026-01-28T00:00:00"/>
    <x v="2"/>
    <s v="Afternoon"/>
    <s v="OP_D"/>
    <s v="M201"/>
    <s v="B2399"/>
    <n v="10.038500000000001"/>
  </r>
  <r>
    <d v="2026-01-29T00:00:00"/>
    <x v="1"/>
    <s v="Morning"/>
    <s v="OP_B"/>
    <s v="M301"/>
    <s v="B2400"/>
    <n v="9.9957999999999991"/>
  </r>
  <r>
    <d v="2026-01-29T00:00:00"/>
    <x v="2"/>
    <s v="Night"/>
    <s v="OP_A"/>
    <s v="M301"/>
    <s v="B2401"/>
    <n v="9.9968000000000004"/>
  </r>
  <r>
    <d v="2026-01-29T00:00:00"/>
    <x v="1"/>
    <s v="Afternoon"/>
    <s v="OP_C"/>
    <s v="M102"/>
    <s v="B2402"/>
    <n v="10.0565"/>
  </r>
  <r>
    <d v="2026-01-29T00:00:00"/>
    <x v="2"/>
    <s v="Afternoon"/>
    <s v="OP_B"/>
    <s v="M201"/>
    <s v="B2403"/>
    <n v="9.9877000000000002"/>
  </r>
  <r>
    <d v="2026-01-29T00:00:00"/>
    <x v="1"/>
    <s v="Morning"/>
    <s v="OP_C"/>
    <s v="M101"/>
    <s v="B2404"/>
    <n v="10.048500000000001"/>
  </r>
  <r>
    <d v="2026-01-29T00:00:00"/>
    <x v="0"/>
    <s v="Night"/>
    <s v="OP_A"/>
    <s v="M301"/>
    <s v="B2405"/>
    <n v="9.9954000000000001"/>
  </r>
  <r>
    <d v="2026-01-29T00:00:00"/>
    <x v="2"/>
    <s v="Morning"/>
    <s v="OP_A"/>
    <s v="M201"/>
    <s v="B2406"/>
    <n v="10.039400000000001"/>
  </r>
  <r>
    <d v="2026-01-29T00:00:00"/>
    <x v="0"/>
    <s v="Afternoon"/>
    <s v="OP_C"/>
    <s v="M202"/>
    <s v="B2407"/>
    <n v="9.9754000000000005"/>
  </r>
  <r>
    <d v="2026-01-29T00:00:00"/>
    <x v="2"/>
    <s v="Morning"/>
    <s v="OP_A"/>
    <s v="M202"/>
    <s v="B2408"/>
    <n v="10.036799999999999"/>
  </r>
  <r>
    <d v="2026-01-29T00:00:00"/>
    <x v="2"/>
    <s v="Afternoon"/>
    <s v="OP_D"/>
    <s v="M202"/>
    <s v="B2409"/>
    <n v="10.030099999999999"/>
  </r>
  <r>
    <d v="2026-01-29T00:00:00"/>
    <x v="0"/>
    <s v="Morning"/>
    <s v="OP_A"/>
    <s v="M101"/>
    <s v="B2410"/>
    <n v="9.9786000000000001"/>
  </r>
  <r>
    <d v="2026-01-29T00:00:00"/>
    <x v="1"/>
    <s v="Night"/>
    <s v="OP_D"/>
    <s v="M201"/>
    <s v="B2411"/>
    <n v="10.039199999999999"/>
  </r>
  <r>
    <d v="2026-01-29T00:00:00"/>
    <x v="2"/>
    <s v="Afternoon"/>
    <s v="OP_C"/>
    <s v="M301"/>
    <s v="B2412"/>
    <n v="9.9867000000000008"/>
  </r>
  <r>
    <d v="2026-01-29T00:00:00"/>
    <x v="0"/>
    <s v="Morning"/>
    <s v="OP_C"/>
    <s v="M102"/>
    <s v="B2413"/>
    <n v="9.9708000000000006"/>
  </r>
  <r>
    <d v="2026-01-29T00:00:00"/>
    <x v="0"/>
    <s v="Morning"/>
    <s v="OP_A"/>
    <s v="M101"/>
    <s v="B2414"/>
    <n v="10.0166"/>
  </r>
  <r>
    <d v="2026-01-29T00:00:00"/>
    <x v="0"/>
    <s v="Night"/>
    <s v="OP_A"/>
    <s v="M202"/>
    <s v="B2415"/>
    <n v="9.9629999999999992"/>
  </r>
  <r>
    <d v="2026-01-29T00:00:00"/>
    <x v="1"/>
    <s v="Morning"/>
    <s v="OP_D"/>
    <s v="M201"/>
    <s v="B2416"/>
    <n v="10.014900000000001"/>
  </r>
  <r>
    <d v="2026-01-29T00:00:00"/>
    <x v="1"/>
    <s v="Night"/>
    <s v="OP_D"/>
    <s v="M101"/>
    <s v="B2417"/>
    <n v="10.0121"/>
  </r>
  <r>
    <d v="2026-01-29T00:00:00"/>
    <x v="2"/>
    <s v="Afternoon"/>
    <s v="OP_C"/>
    <s v="M102"/>
    <s v="B2418"/>
    <n v="9.9955999999999996"/>
  </r>
  <r>
    <d v="2026-01-29T00:00:00"/>
    <x v="2"/>
    <s v="Night"/>
    <s v="OP_D"/>
    <s v="M301"/>
    <s v="B2419"/>
    <n v="10.008699999999999"/>
  </r>
  <r>
    <d v="2026-01-29T00:00:00"/>
    <x v="2"/>
    <s v="Morning"/>
    <s v="OP_A"/>
    <s v="M202"/>
    <s v="B2420"/>
    <n v="9.9955999999999996"/>
  </r>
  <r>
    <d v="2026-01-29T00:00:00"/>
    <x v="0"/>
    <s v="Night"/>
    <s v="OP_D"/>
    <s v="M301"/>
    <s v="B2421"/>
    <n v="9.9748999999999999"/>
  </r>
  <r>
    <d v="2026-01-29T00:00:00"/>
    <x v="2"/>
    <s v="Night"/>
    <s v="OP_D"/>
    <s v="M202"/>
    <s v="B2422"/>
    <n v="10.0344"/>
  </r>
  <r>
    <d v="2026-01-29T00:00:00"/>
    <x v="0"/>
    <s v="Night"/>
    <s v="OP_B"/>
    <s v="M101"/>
    <s v="B2423"/>
    <n v="9.9720999999999993"/>
  </r>
  <r>
    <d v="2026-01-29T00:00:00"/>
    <x v="2"/>
    <s v="Afternoon"/>
    <s v="OP_A"/>
    <s v="M201"/>
    <s v="B2424"/>
    <n v="10.037699999999999"/>
  </r>
  <r>
    <d v="2026-01-29T00:00:00"/>
    <x v="1"/>
    <s v="Afternoon"/>
    <s v="OP_A"/>
    <s v="M102"/>
    <s v="B2425"/>
    <n v="10.004799999999999"/>
  </r>
  <r>
    <d v="2026-01-29T00:00:00"/>
    <x v="2"/>
    <s v="Night"/>
    <s v="OP_A"/>
    <s v="M301"/>
    <s v="B2426"/>
    <n v="9.9960000000000004"/>
  </r>
  <r>
    <d v="2026-01-29T00:00:00"/>
    <x v="0"/>
    <s v="Afternoon"/>
    <s v="OP_A"/>
    <s v="M201"/>
    <s v="B2427"/>
    <n v="9.9921000000000006"/>
  </r>
  <r>
    <d v="2026-01-29T00:00:00"/>
    <x v="2"/>
    <s v="Afternoon"/>
    <s v="OP_D"/>
    <s v="M102"/>
    <s v="B2428"/>
    <n v="9.9894999999999996"/>
  </r>
  <r>
    <d v="2026-01-29T00:00:00"/>
    <x v="0"/>
    <s v="Night"/>
    <s v="OP_C"/>
    <s v="M201"/>
    <s v="B2429"/>
    <n v="10.0246"/>
  </r>
  <r>
    <d v="2026-01-29T00:00:00"/>
    <x v="2"/>
    <s v="Morning"/>
    <s v="OP_A"/>
    <s v="M202"/>
    <s v="B2430"/>
    <n v="10.0093"/>
  </r>
  <r>
    <d v="2026-01-29T00:00:00"/>
    <x v="2"/>
    <s v="Morning"/>
    <s v="OP_C"/>
    <s v="M201"/>
    <s v="B2431"/>
    <n v="10.025700000000001"/>
  </r>
  <r>
    <d v="2026-01-29T00:00:00"/>
    <x v="2"/>
    <s v="Afternoon"/>
    <s v="OP_B"/>
    <s v="M101"/>
    <s v="B2432"/>
    <n v="10.0266"/>
  </r>
  <r>
    <d v="2026-01-29T00:00:00"/>
    <x v="1"/>
    <s v="Morning"/>
    <s v="OP_B"/>
    <s v="M102"/>
    <s v="B2433"/>
    <n v="10.026300000000001"/>
  </r>
  <r>
    <d v="2026-01-29T00:00:00"/>
    <x v="1"/>
    <s v="Night"/>
    <s v="OP_B"/>
    <s v="M202"/>
    <s v="B2434"/>
    <n v="10.017799999999999"/>
  </r>
  <r>
    <d v="2026-01-29T00:00:00"/>
    <x v="0"/>
    <s v="Afternoon"/>
    <s v="OP_B"/>
    <s v="M301"/>
    <s v="B2435"/>
    <n v="9.9901999999999997"/>
  </r>
  <r>
    <d v="2026-01-29T00:00:00"/>
    <x v="0"/>
    <s v="Night"/>
    <s v="OP_C"/>
    <s v="M201"/>
    <s v="B2436"/>
    <n v="10.017200000000001"/>
  </r>
  <r>
    <d v="2026-01-29T00:00:00"/>
    <x v="1"/>
    <s v="Morning"/>
    <s v="OP_C"/>
    <s v="M101"/>
    <s v="B2437"/>
    <n v="10.0228"/>
  </r>
  <r>
    <d v="2026-01-29T00:00:00"/>
    <x v="0"/>
    <s v="Afternoon"/>
    <s v="OP_C"/>
    <s v="M301"/>
    <s v="B2438"/>
    <n v="9.9879999999999995"/>
  </r>
  <r>
    <d v="2026-01-29T00:00:00"/>
    <x v="2"/>
    <s v="Morning"/>
    <s v="OP_D"/>
    <s v="M102"/>
    <s v="B2439"/>
    <n v="10.0093"/>
  </r>
  <r>
    <d v="2026-01-29T00:00:00"/>
    <x v="0"/>
    <s v="Afternoon"/>
    <s v="OP_C"/>
    <s v="M301"/>
    <s v="B2440"/>
    <n v="10.009399999999999"/>
  </r>
  <r>
    <d v="2026-01-29T00:00:00"/>
    <x v="1"/>
    <s v="Morning"/>
    <s v="OP_C"/>
    <s v="M101"/>
    <s v="B2441"/>
    <n v="9.9830000000000005"/>
  </r>
  <r>
    <d v="2026-01-29T00:00:00"/>
    <x v="1"/>
    <s v="Afternoon"/>
    <s v="OP_D"/>
    <s v="M101"/>
    <s v="B2442"/>
    <n v="10.000400000000001"/>
  </r>
  <r>
    <d v="2026-01-29T00:00:00"/>
    <x v="0"/>
    <s v="Afternoon"/>
    <s v="OP_C"/>
    <s v="M102"/>
    <s v="B2443"/>
    <n v="9.9747000000000003"/>
  </r>
  <r>
    <d v="2026-01-29T00:00:00"/>
    <x v="1"/>
    <s v="Night"/>
    <s v="OP_B"/>
    <s v="M101"/>
    <s v="B2444"/>
    <n v="10.0305"/>
  </r>
  <r>
    <d v="2026-01-29T00:00:00"/>
    <x v="1"/>
    <s v="Night"/>
    <s v="OP_D"/>
    <s v="M301"/>
    <s v="B2445"/>
    <n v="10.0334"/>
  </r>
  <r>
    <d v="2026-01-29T00:00:00"/>
    <x v="1"/>
    <s v="Afternoon"/>
    <s v="OP_D"/>
    <s v="M201"/>
    <s v="B2446"/>
    <n v="9.9565000000000001"/>
  </r>
  <r>
    <d v="2026-01-29T00:00:00"/>
    <x v="1"/>
    <s v="Afternoon"/>
    <s v="OP_B"/>
    <s v="M201"/>
    <s v="B2447"/>
    <n v="10.0304"/>
  </r>
  <r>
    <d v="2026-01-29T00:00:00"/>
    <x v="1"/>
    <s v="Night"/>
    <s v="OP_D"/>
    <s v="M102"/>
    <s v="B2448"/>
    <n v="9.9913000000000007"/>
  </r>
  <r>
    <d v="2026-01-29T00:00:00"/>
    <x v="1"/>
    <s v="Afternoon"/>
    <s v="OP_B"/>
    <s v="M301"/>
    <s v="B2449"/>
    <n v="10.0464"/>
  </r>
  <r>
    <d v="2026-01-30T00:00:00"/>
    <x v="2"/>
    <s v="Morning"/>
    <s v="OP_C"/>
    <s v="M202"/>
    <s v="B2450"/>
    <n v="10.0063"/>
  </r>
  <r>
    <d v="2026-01-30T00:00:00"/>
    <x v="2"/>
    <s v="Morning"/>
    <s v="OP_A"/>
    <s v="M202"/>
    <s v="B2451"/>
    <n v="10.010899999999999"/>
  </r>
  <r>
    <d v="2026-01-30T00:00:00"/>
    <x v="1"/>
    <s v="Night"/>
    <s v="OP_A"/>
    <s v="M101"/>
    <s v="B2452"/>
    <n v="9.9824999999999999"/>
  </r>
  <r>
    <d v="2026-01-30T00:00:00"/>
    <x v="1"/>
    <s v="Morning"/>
    <s v="OP_B"/>
    <s v="M301"/>
    <s v="B2453"/>
    <n v="10.015000000000001"/>
  </r>
  <r>
    <d v="2026-01-30T00:00:00"/>
    <x v="1"/>
    <s v="Night"/>
    <s v="OP_B"/>
    <s v="M102"/>
    <s v="B2454"/>
    <n v="10.025399999999999"/>
  </r>
  <r>
    <d v="2026-01-30T00:00:00"/>
    <x v="2"/>
    <s v="Afternoon"/>
    <s v="OP_B"/>
    <s v="M101"/>
    <s v="B2455"/>
    <n v="9.9792000000000005"/>
  </r>
  <r>
    <d v="2026-01-30T00:00:00"/>
    <x v="0"/>
    <s v="Afternoon"/>
    <s v="OP_D"/>
    <s v="M301"/>
    <s v="B2456"/>
    <n v="10.0311"/>
  </r>
  <r>
    <d v="2026-01-30T00:00:00"/>
    <x v="1"/>
    <s v="Afternoon"/>
    <s v="OP_C"/>
    <s v="M201"/>
    <s v="B2457"/>
    <n v="9.9816000000000003"/>
  </r>
  <r>
    <d v="2026-01-30T00:00:00"/>
    <x v="0"/>
    <s v="Afternoon"/>
    <s v="OP_A"/>
    <s v="M202"/>
    <s v="B2458"/>
    <n v="9.9801000000000002"/>
  </r>
  <r>
    <d v="2026-01-30T00:00:00"/>
    <x v="2"/>
    <s v="Morning"/>
    <s v="OP_A"/>
    <s v="M202"/>
    <s v="B2459"/>
    <n v="10.0021"/>
  </r>
  <r>
    <d v="2026-01-30T00:00:00"/>
    <x v="0"/>
    <s v="Morning"/>
    <s v="OP_C"/>
    <s v="M301"/>
    <s v="B2460"/>
    <n v="9.99"/>
  </r>
  <r>
    <d v="2026-01-30T00:00:00"/>
    <x v="2"/>
    <s v="Morning"/>
    <s v="OP_C"/>
    <s v="M201"/>
    <s v="B2461"/>
    <n v="10.009399999999999"/>
  </r>
  <r>
    <d v="2026-01-30T00:00:00"/>
    <x v="0"/>
    <s v="Morning"/>
    <s v="OP_B"/>
    <s v="M301"/>
    <s v="B2462"/>
    <n v="10.002599999999999"/>
  </r>
  <r>
    <d v="2026-01-30T00:00:00"/>
    <x v="0"/>
    <s v="Morning"/>
    <s v="OP_B"/>
    <s v="M202"/>
    <s v="B2463"/>
    <n v="10.0198"/>
  </r>
  <r>
    <d v="2026-01-30T00:00:00"/>
    <x v="0"/>
    <s v="Morning"/>
    <s v="OP_B"/>
    <s v="M201"/>
    <s v="B2464"/>
    <n v="9.9818999999999996"/>
  </r>
  <r>
    <d v="2026-01-30T00:00:00"/>
    <x v="0"/>
    <s v="Morning"/>
    <s v="OP_B"/>
    <s v="M301"/>
    <s v="B2465"/>
    <n v="10.007400000000001"/>
  </r>
  <r>
    <d v="2026-01-30T00:00:00"/>
    <x v="1"/>
    <s v="Night"/>
    <s v="OP_C"/>
    <s v="M202"/>
    <s v="B2466"/>
    <n v="10.021599999999999"/>
  </r>
  <r>
    <d v="2026-01-30T00:00:00"/>
    <x v="0"/>
    <s v="Afternoon"/>
    <s v="OP_C"/>
    <s v="M101"/>
    <s v="B2467"/>
    <n v="9.9951000000000008"/>
  </r>
  <r>
    <d v="2026-01-30T00:00:00"/>
    <x v="2"/>
    <s v="Afternoon"/>
    <s v="OP_D"/>
    <s v="M301"/>
    <s v="B2468"/>
    <n v="10.0029"/>
  </r>
  <r>
    <d v="2026-01-30T00:00:00"/>
    <x v="2"/>
    <s v="Afternoon"/>
    <s v="OP_A"/>
    <s v="M101"/>
    <s v="B2469"/>
    <n v="9.9876000000000005"/>
  </r>
  <r>
    <d v="2026-01-30T00:00:00"/>
    <x v="1"/>
    <s v="Afternoon"/>
    <s v="OP_B"/>
    <s v="M201"/>
    <s v="B2470"/>
    <n v="10.0075"/>
  </r>
  <r>
    <d v="2026-01-30T00:00:00"/>
    <x v="1"/>
    <s v="Afternoon"/>
    <s v="OP_B"/>
    <s v="M301"/>
    <s v="B2471"/>
    <n v="10.0082"/>
  </r>
  <r>
    <d v="2026-01-30T00:00:00"/>
    <x v="0"/>
    <s v="Afternoon"/>
    <s v="OP_A"/>
    <s v="M101"/>
    <s v="B2472"/>
    <n v="9.9812999999999992"/>
  </r>
  <r>
    <d v="2026-01-30T00:00:00"/>
    <x v="1"/>
    <s v="Morning"/>
    <s v="OP_B"/>
    <s v="M301"/>
    <s v="B2473"/>
    <n v="10.014900000000001"/>
  </r>
  <r>
    <d v="2026-01-30T00:00:00"/>
    <x v="0"/>
    <s v="Morning"/>
    <s v="OP_C"/>
    <s v="M101"/>
    <s v="B2474"/>
    <n v="10.005599999999999"/>
  </r>
  <r>
    <d v="2026-01-30T00:00:00"/>
    <x v="0"/>
    <s v="Morning"/>
    <s v="OP_A"/>
    <s v="M301"/>
    <s v="B2475"/>
    <n v="10.006399999999999"/>
  </r>
  <r>
    <d v="2026-01-30T00:00:00"/>
    <x v="0"/>
    <s v="Afternoon"/>
    <s v="OP_D"/>
    <s v="M201"/>
    <s v="B2476"/>
    <n v="10.015499999999999"/>
  </r>
  <r>
    <d v="2026-01-30T00:00:00"/>
    <x v="2"/>
    <s v="Morning"/>
    <s v="OP_D"/>
    <s v="M102"/>
    <s v="B2477"/>
    <n v="9.9920000000000009"/>
  </r>
  <r>
    <d v="2026-01-30T00:00:00"/>
    <x v="0"/>
    <s v="Afternoon"/>
    <s v="OP_C"/>
    <s v="M202"/>
    <s v="B2478"/>
    <n v="9.9986999999999995"/>
  </r>
  <r>
    <d v="2026-01-30T00:00:00"/>
    <x v="2"/>
    <s v="Afternoon"/>
    <s v="OP_C"/>
    <s v="M102"/>
    <s v="B2479"/>
    <n v="10.025399999999999"/>
  </r>
  <r>
    <d v="2026-01-30T00:00:00"/>
    <x v="2"/>
    <s v="Night"/>
    <s v="OP_D"/>
    <s v="M101"/>
    <s v="B2480"/>
    <n v="9.9968000000000004"/>
  </r>
  <r>
    <d v="2026-01-30T00:00:00"/>
    <x v="1"/>
    <s v="Night"/>
    <s v="OP_C"/>
    <s v="M101"/>
    <s v="B2481"/>
    <n v="10.0128"/>
  </r>
  <r>
    <d v="2026-01-30T00:00:00"/>
    <x v="2"/>
    <s v="Afternoon"/>
    <s v="OP_C"/>
    <s v="M102"/>
    <s v="B2482"/>
    <n v="10.02"/>
  </r>
  <r>
    <d v="2026-01-30T00:00:00"/>
    <x v="2"/>
    <s v="Night"/>
    <s v="OP_A"/>
    <s v="M301"/>
    <s v="B2483"/>
    <n v="9.9879999999999995"/>
  </r>
  <r>
    <d v="2026-01-30T00:00:00"/>
    <x v="2"/>
    <s v="Afternoon"/>
    <s v="OP_A"/>
    <s v="M301"/>
    <s v="B2484"/>
    <n v="9.9803999999999995"/>
  </r>
  <r>
    <d v="2026-01-30T00:00:00"/>
    <x v="2"/>
    <s v="Morning"/>
    <s v="OP_C"/>
    <s v="M101"/>
    <s v="B2485"/>
    <n v="10.0139"/>
  </r>
  <r>
    <d v="2026-01-30T00:00:00"/>
    <x v="0"/>
    <s v="Afternoon"/>
    <s v="OP_C"/>
    <s v="M201"/>
    <s v="B2486"/>
    <n v="10.0402"/>
  </r>
  <r>
    <d v="2026-01-30T00:00:00"/>
    <x v="2"/>
    <s v="Morning"/>
    <s v="OP_B"/>
    <s v="M301"/>
    <s v="B2487"/>
    <n v="9.9723000000000006"/>
  </r>
  <r>
    <d v="2026-01-30T00:00:00"/>
    <x v="0"/>
    <s v="Afternoon"/>
    <s v="OP_C"/>
    <s v="M202"/>
    <s v="B2488"/>
    <n v="10.020899999999999"/>
  </r>
  <r>
    <d v="2026-01-30T00:00:00"/>
    <x v="1"/>
    <s v="Morning"/>
    <s v="OP_A"/>
    <s v="M202"/>
    <s v="B2489"/>
    <n v="9.9972999999999992"/>
  </r>
  <r>
    <d v="2026-01-30T00:00:00"/>
    <x v="1"/>
    <s v="Morning"/>
    <s v="OP_C"/>
    <s v="M201"/>
    <s v="B2490"/>
    <n v="10.002800000000001"/>
  </r>
  <r>
    <d v="2026-01-30T00:00:00"/>
    <x v="2"/>
    <s v="Afternoon"/>
    <s v="OP_C"/>
    <s v="M202"/>
    <s v="B2491"/>
    <n v="9.9528999999999996"/>
  </r>
  <r>
    <d v="2026-01-30T00:00:00"/>
    <x v="0"/>
    <s v="Night"/>
    <s v="OP_B"/>
    <s v="M202"/>
    <s v="B2492"/>
    <n v="9.9718999999999998"/>
  </r>
  <r>
    <d v="2026-01-30T00:00:00"/>
    <x v="1"/>
    <s v="Afternoon"/>
    <s v="OP_A"/>
    <s v="M201"/>
    <s v="B2493"/>
    <n v="10.005800000000001"/>
  </r>
  <r>
    <d v="2026-01-30T00:00:00"/>
    <x v="1"/>
    <s v="Morning"/>
    <s v="OP_B"/>
    <s v="M202"/>
    <s v="B2494"/>
    <n v="10.0448"/>
  </r>
  <r>
    <d v="2026-01-30T00:00:00"/>
    <x v="0"/>
    <s v="Afternoon"/>
    <s v="OP_D"/>
    <s v="M201"/>
    <s v="B2495"/>
    <n v="9.9987999999999992"/>
  </r>
  <r>
    <d v="2026-01-30T00:00:00"/>
    <x v="0"/>
    <s v="Afternoon"/>
    <s v="OP_C"/>
    <s v="M101"/>
    <s v="B2496"/>
    <n v="9.9707000000000008"/>
  </r>
  <r>
    <d v="2026-01-30T00:00:00"/>
    <x v="2"/>
    <s v="Morning"/>
    <s v="OP_C"/>
    <s v="M301"/>
    <s v="B2497"/>
    <n v="9.9618000000000002"/>
  </r>
  <r>
    <d v="2026-01-30T00:00:00"/>
    <x v="1"/>
    <s v="Morning"/>
    <s v="OP_C"/>
    <s v="M101"/>
    <s v="B2498"/>
    <n v="10.008100000000001"/>
  </r>
  <r>
    <d v="2026-01-30T00:00:00"/>
    <x v="2"/>
    <s v="Night"/>
    <s v="OP_C"/>
    <s v="M102"/>
    <s v="B2499"/>
    <n v="10.0081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58C29-3DE5-49BB-925C-694BBAEAB7F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O7" firstHeaderRow="0" firstDataRow="1" firstDataCol="1"/>
  <pivotFields count="7"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easurement_Value_mm" fld="6" subtotal="average" baseField="1" baseItem="0"/>
    <dataField name="StdDev of Measurement_Value_mm" fld="6" subtotal="stdDev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1"/>
  <sheetViews>
    <sheetView tabSelected="1" topLeftCell="C1" workbookViewId="0">
      <selection activeCell="M18" sqref="M18"/>
    </sheetView>
  </sheetViews>
  <sheetFormatPr defaultRowHeight="14.4" x14ac:dyDescent="0.3"/>
  <cols>
    <col min="1" max="1" width="10.33203125" bestFit="1" customWidth="1"/>
    <col min="2" max="2" width="5.77734375" bestFit="1" customWidth="1"/>
    <col min="3" max="3" width="9.33203125" bestFit="1" customWidth="1"/>
    <col min="4" max="4" width="8.5546875" bestFit="1" customWidth="1"/>
    <col min="5" max="5" width="11.109375" bestFit="1" customWidth="1"/>
    <col min="6" max="6" width="8.5546875" bestFit="1" customWidth="1"/>
    <col min="7" max="7" width="23.21875" bestFit="1" customWidth="1"/>
    <col min="8" max="8" width="13.5546875" bestFit="1" customWidth="1"/>
    <col min="10" max="10" width="17.33203125" bestFit="1" customWidth="1"/>
    <col min="13" max="13" width="12.5546875" bestFit="1" customWidth="1"/>
    <col min="14" max="14" width="33" bestFit="1" customWidth="1"/>
    <col min="15" max="15" width="32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1715</v>
      </c>
    </row>
    <row r="2" spans="1:15" x14ac:dyDescent="0.3">
      <c r="A2" s="2">
        <v>46023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10.014799999999999</v>
      </c>
      <c r="H2" t="str">
        <f t="shared" ref="H2:H4" si="0">IF(OR(G2&gt;10.5,G2&lt;9.95),"Defect","ok")</f>
        <v>ok</v>
      </c>
    </row>
    <row r="3" spans="1:15" x14ac:dyDescent="0.3">
      <c r="A3" s="2">
        <v>46023</v>
      </c>
      <c r="B3" t="s">
        <v>12</v>
      </c>
      <c r="C3" t="s">
        <v>8</v>
      </c>
      <c r="D3" t="s">
        <v>13</v>
      </c>
      <c r="E3" t="s">
        <v>14</v>
      </c>
      <c r="F3" t="s">
        <v>15</v>
      </c>
      <c r="G3">
        <v>10.0009</v>
      </c>
      <c r="H3" t="str">
        <f t="shared" si="0"/>
        <v>ok</v>
      </c>
      <c r="J3" s="3" t="s">
        <v>1701</v>
      </c>
      <c r="K3">
        <f>AVERAGE(G2:G1501)</f>
        <v>10.006109533333337</v>
      </c>
      <c r="M3" s="4" t="s">
        <v>1711</v>
      </c>
      <c r="N3" t="s">
        <v>1713</v>
      </c>
      <c r="O3" t="s">
        <v>1714</v>
      </c>
    </row>
    <row r="4" spans="1:15" x14ac:dyDescent="0.3">
      <c r="A4" s="2">
        <v>46023</v>
      </c>
      <c r="B4" t="s">
        <v>7</v>
      </c>
      <c r="C4" t="s">
        <v>16</v>
      </c>
      <c r="D4" t="s">
        <v>17</v>
      </c>
      <c r="E4" t="s">
        <v>14</v>
      </c>
      <c r="F4" t="s">
        <v>18</v>
      </c>
      <c r="G4">
        <v>9.9901999999999997</v>
      </c>
      <c r="H4" t="str">
        <f t="shared" si="0"/>
        <v>ok</v>
      </c>
      <c r="J4" s="3" t="s">
        <v>1702</v>
      </c>
      <c r="K4">
        <f>_xlfn.STDEV.S(G2:G1501)</f>
        <v>2.5285128321968116E-2</v>
      </c>
      <c r="M4" s="5" t="s">
        <v>7</v>
      </c>
      <c r="N4">
        <v>10.000543113772464</v>
      </c>
      <c r="O4">
        <v>1.9493649666170561E-2</v>
      </c>
    </row>
    <row r="5" spans="1:15" x14ac:dyDescent="0.3">
      <c r="A5" s="2">
        <v>46023</v>
      </c>
      <c r="B5" t="s">
        <v>12</v>
      </c>
      <c r="C5" t="s">
        <v>19</v>
      </c>
      <c r="D5" t="s">
        <v>17</v>
      </c>
      <c r="E5" t="s">
        <v>14</v>
      </c>
      <c r="F5" t="s">
        <v>20</v>
      </c>
      <c r="G5">
        <v>10.059200000000001</v>
      </c>
      <c r="H5" t="str">
        <f>IF(OR(G5&gt;10.5,G5&lt;9.95),"Defect","ok")</f>
        <v>ok</v>
      </c>
      <c r="J5" s="3" t="s">
        <v>1703</v>
      </c>
      <c r="K5">
        <f>K3 + (3 * K4)</f>
        <v>10.081964918299242</v>
      </c>
      <c r="M5" s="5" t="s">
        <v>12</v>
      </c>
      <c r="N5">
        <v>10.019190618762478</v>
      </c>
      <c r="O5">
        <v>3.0060746026006037E-2</v>
      </c>
    </row>
    <row r="6" spans="1:15" x14ac:dyDescent="0.3">
      <c r="A6" s="2">
        <v>46023</v>
      </c>
      <c r="B6" t="s">
        <v>12</v>
      </c>
      <c r="C6" t="s">
        <v>16</v>
      </c>
      <c r="D6" t="s">
        <v>13</v>
      </c>
      <c r="E6" t="s">
        <v>21</v>
      </c>
      <c r="F6" t="s">
        <v>22</v>
      </c>
      <c r="G6">
        <v>10.0928</v>
      </c>
      <c r="H6" t="str">
        <f t="shared" ref="H6:H69" si="1">IF(OR(G6&gt;10.5,G6&lt;9.95),"Defect","ok")</f>
        <v>ok</v>
      </c>
      <c r="J6" s="3" t="s">
        <v>1704</v>
      </c>
      <c r="K6">
        <f>K3 - (3 * K4)</f>
        <v>9.9302541483674318</v>
      </c>
      <c r="M6" s="5" t="s">
        <v>23</v>
      </c>
      <c r="N6">
        <v>9.9985495983935859</v>
      </c>
      <c r="O6">
        <v>1.9388426343267193E-2</v>
      </c>
    </row>
    <row r="7" spans="1:15" x14ac:dyDescent="0.3">
      <c r="A7" s="2">
        <v>46023</v>
      </c>
      <c r="B7" t="s">
        <v>23</v>
      </c>
      <c r="C7" t="s">
        <v>19</v>
      </c>
      <c r="D7" t="s">
        <v>13</v>
      </c>
      <c r="E7" t="s">
        <v>10</v>
      </c>
      <c r="F7" t="s">
        <v>24</v>
      </c>
      <c r="G7">
        <v>9.9957999999999991</v>
      </c>
      <c r="H7" t="str">
        <f t="shared" si="1"/>
        <v>ok</v>
      </c>
      <c r="J7" s="3" t="s">
        <v>1705</v>
      </c>
      <c r="K7">
        <v>10.050000000000001</v>
      </c>
      <c r="M7" s="5" t="s">
        <v>1712</v>
      </c>
      <c r="N7">
        <v>10.006109533333353</v>
      </c>
      <c r="O7">
        <v>2.5285128313721414E-2</v>
      </c>
    </row>
    <row r="8" spans="1:15" x14ac:dyDescent="0.3">
      <c r="A8" s="2">
        <v>46023</v>
      </c>
      <c r="B8" t="s">
        <v>7</v>
      </c>
      <c r="C8" t="s">
        <v>16</v>
      </c>
      <c r="D8" t="s">
        <v>17</v>
      </c>
      <c r="E8" t="s">
        <v>21</v>
      </c>
      <c r="F8" t="s">
        <v>25</v>
      </c>
      <c r="G8">
        <v>9.9930000000000003</v>
      </c>
      <c r="H8" t="str">
        <f t="shared" si="1"/>
        <v>ok</v>
      </c>
      <c r="J8" s="3" t="s">
        <v>1706</v>
      </c>
      <c r="K8">
        <v>9.9499999999999993</v>
      </c>
    </row>
    <row r="9" spans="1:15" x14ac:dyDescent="0.3">
      <c r="A9" s="2">
        <v>46023</v>
      </c>
      <c r="B9" t="s">
        <v>7</v>
      </c>
      <c r="C9" t="s">
        <v>8</v>
      </c>
      <c r="D9" t="s">
        <v>17</v>
      </c>
      <c r="E9" t="s">
        <v>14</v>
      </c>
      <c r="F9" t="s">
        <v>26</v>
      </c>
      <c r="G9">
        <v>9.9921000000000006</v>
      </c>
      <c r="H9" t="str">
        <f t="shared" si="1"/>
        <v>ok</v>
      </c>
    </row>
    <row r="10" spans="1:15" x14ac:dyDescent="0.3">
      <c r="A10" s="2">
        <v>46023</v>
      </c>
      <c r="B10" t="s">
        <v>7</v>
      </c>
      <c r="C10" t="s">
        <v>8</v>
      </c>
      <c r="D10" t="s">
        <v>13</v>
      </c>
      <c r="E10" t="s">
        <v>21</v>
      </c>
      <c r="F10" t="s">
        <v>27</v>
      </c>
      <c r="G10">
        <v>10.0502</v>
      </c>
      <c r="H10" t="str">
        <f t="shared" si="1"/>
        <v>ok</v>
      </c>
      <c r="J10" s="3" t="s">
        <v>1707</v>
      </c>
      <c r="K10">
        <f>(K7-K8)/(6*K4)</f>
        <v>0.65914898490693596</v>
      </c>
    </row>
    <row r="11" spans="1:15" x14ac:dyDescent="0.3">
      <c r="A11" s="2">
        <v>46023</v>
      </c>
      <c r="B11" t="s">
        <v>23</v>
      </c>
      <c r="C11" t="s">
        <v>19</v>
      </c>
      <c r="D11" t="s">
        <v>13</v>
      </c>
      <c r="E11" t="s">
        <v>28</v>
      </c>
      <c r="F11" t="s">
        <v>29</v>
      </c>
      <c r="G11">
        <v>10.003</v>
      </c>
      <c r="H11" t="str">
        <f t="shared" si="1"/>
        <v>ok</v>
      </c>
      <c r="J11" s="3" t="s">
        <v>1708</v>
      </c>
      <c r="K11">
        <f>(K7-K3)/(3*K4)</f>
        <v>0.57860713100845407</v>
      </c>
    </row>
    <row r="12" spans="1:15" x14ac:dyDescent="0.3">
      <c r="A12" s="2">
        <v>46023</v>
      </c>
      <c r="B12" t="s">
        <v>12</v>
      </c>
      <c r="C12" t="s">
        <v>8</v>
      </c>
      <c r="D12" t="s">
        <v>9</v>
      </c>
      <c r="E12" t="s">
        <v>28</v>
      </c>
      <c r="F12" t="s">
        <v>30</v>
      </c>
      <c r="G12">
        <v>10.0113</v>
      </c>
      <c r="H12" t="str">
        <f t="shared" si="1"/>
        <v>ok</v>
      </c>
      <c r="J12" s="3" t="s">
        <v>1709</v>
      </c>
      <c r="K12">
        <f>(K3-K8)/(3*K4)</f>
        <v>0.73969083880541797</v>
      </c>
    </row>
    <row r="13" spans="1:15" x14ac:dyDescent="0.3">
      <c r="A13" s="2">
        <v>46023</v>
      </c>
      <c r="B13" t="s">
        <v>7</v>
      </c>
      <c r="C13" t="s">
        <v>8</v>
      </c>
      <c r="D13" t="s">
        <v>17</v>
      </c>
      <c r="E13" t="s">
        <v>10</v>
      </c>
      <c r="F13" t="s">
        <v>31</v>
      </c>
      <c r="G13">
        <v>9.9987999999999992</v>
      </c>
      <c r="H13" t="str">
        <f t="shared" si="1"/>
        <v>ok</v>
      </c>
      <c r="J13" s="3" t="s">
        <v>1710</v>
      </c>
      <c r="K13">
        <f>MIN(K11, K12)</f>
        <v>0.57860713100845407</v>
      </c>
    </row>
    <row r="14" spans="1:15" x14ac:dyDescent="0.3">
      <c r="A14" s="2">
        <v>46023</v>
      </c>
      <c r="B14" t="s">
        <v>7</v>
      </c>
      <c r="C14" t="s">
        <v>8</v>
      </c>
      <c r="D14" t="s">
        <v>9</v>
      </c>
      <c r="E14" t="s">
        <v>10</v>
      </c>
      <c r="F14" t="s">
        <v>32</v>
      </c>
      <c r="G14">
        <v>9.9960000000000004</v>
      </c>
      <c r="H14" t="str">
        <f t="shared" si="1"/>
        <v>ok</v>
      </c>
    </row>
    <row r="15" spans="1:15" x14ac:dyDescent="0.3">
      <c r="A15" s="2">
        <v>46023</v>
      </c>
      <c r="B15" t="s">
        <v>23</v>
      </c>
      <c r="C15" t="s">
        <v>8</v>
      </c>
      <c r="D15" t="s">
        <v>17</v>
      </c>
      <c r="E15" t="s">
        <v>14</v>
      </c>
      <c r="F15" t="s">
        <v>33</v>
      </c>
      <c r="G15">
        <v>9.9984999999999999</v>
      </c>
      <c r="H15" t="str">
        <f t="shared" si="1"/>
        <v>ok</v>
      </c>
    </row>
    <row r="16" spans="1:15" x14ac:dyDescent="0.3">
      <c r="A16" s="2">
        <v>46023</v>
      </c>
      <c r="B16" t="s">
        <v>7</v>
      </c>
      <c r="C16" t="s">
        <v>19</v>
      </c>
      <c r="D16" t="s">
        <v>34</v>
      </c>
      <c r="E16" t="s">
        <v>10</v>
      </c>
      <c r="F16" t="s">
        <v>35</v>
      </c>
      <c r="G16">
        <v>10.0114</v>
      </c>
      <c r="H16" t="str">
        <f t="shared" si="1"/>
        <v>ok</v>
      </c>
      <c r="J16" s="3" t="s">
        <v>1716</v>
      </c>
      <c r="K16">
        <f>COUNTIF(H:H,"Defect")/COUNTA(G:G)</f>
        <v>3.3311125916055963E-3</v>
      </c>
    </row>
    <row r="17" spans="1:8" x14ac:dyDescent="0.3">
      <c r="A17" s="2">
        <v>46023</v>
      </c>
      <c r="B17" t="s">
        <v>12</v>
      </c>
      <c r="C17" t="s">
        <v>16</v>
      </c>
      <c r="D17" t="s">
        <v>9</v>
      </c>
      <c r="E17" t="s">
        <v>36</v>
      </c>
      <c r="F17" t="s">
        <v>37</v>
      </c>
      <c r="G17">
        <v>10.028499999999999</v>
      </c>
      <c r="H17" t="str">
        <f t="shared" si="1"/>
        <v>ok</v>
      </c>
    </row>
    <row r="18" spans="1:8" x14ac:dyDescent="0.3">
      <c r="A18" s="2">
        <v>46023</v>
      </c>
      <c r="B18" t="s">
        <v>7</v>
      </c>
      <c r="C18" t="s">
        <v>16</v>
      </c>
      <c r="D18" t="s">
        <v>13</v>
      </c>
      <c r="E18" t="s">
        <v>10</v>
      </c>
      <c r="F18" t="s">
        <v>38</v>
      </c>
      <c r="G18">
        <v>9.9788999999999994</v>
      </c>
      <c r="H18" t="str">
        <f t="shared" si="1"/>
        <v>ok</v>
      </c>
    </row>
    <row r="19" spans="1:8" x14ac:dyDescent="0.3">
      <c r="A19" s="2">
        <v>46023</v>
      </c>
      <c r="B19" t="s">
        <v>12</v>
      </c>
      <c r="C19" t="s">
        <v>19</v>
      </c>
      <c r="D19" t="s">
        <v>13</v>
      </c>
      <c r="E19" t="s">
        <v>21</v>
      </c>
      <c r="F19" t="s">
        <v>39</v>
      </c>
      <c r="G19">
        <v>10.0548</v>
      </c>
      <c r="H19" t="str">
        <f t="shared" si="1"/>
        <v>ok</v>
      </c>
    </row>
    <row r="20" spans="1:8" x14ac:dyDescent="0.3">
      <c r="A20" s="2">
        <v>46023</v>
      </c>
      <c r="B20" t="s">
        <v>23</v>
      </c>
      <c r="C20" t="s">
        <v>19</v>
      </c>
      <c r="D20" t="s">
        <v>13</v>
      </c>
      <c r="E20" t="s">
        <v>36</v>
      </c>
      <c r="F20" t="s">
        <v>40</v>
      </c>
      <c r="G20">
        <v>10.0053</v>
      </c>
      <c r="H20" t="str">
        <f t="shared" si="1"/>
        <v>ok</v>
      </c>
    </row>
    <row r="21" spans="1:8" x14ac:dyDescent="0.3">
      <c r="A21" s="2">
        <v>46023</v>
      </c>
      <c r="B21" t="s">
        <v>12</v>
      </c>
      <c r="C21" t="s">
        <v>16</v>
      </c>
      <c r="D21" t="s">
        <v>13</v>
      </c>
      <c r="E21" t="s">
        <v>21</v>
      </c>
      <c r="F21" t="s">
        <v>41</v>
      </c>
      <c r="G21">
        <v>10.0101</v>
      </c>
      <c r="H21" t="str">
        <f t="shared" si="1"/>
        <v>ok</v>
      </c>
    </row>
    <row r="22" spans="1:8" x14ac:dyDescent="0.3">
      <c r="A22" s="2">
        <v>46023</v>
      </c>
      <c r="B22" t="s">
        <v>7</v>
      </c>
      <c r="C22" t="s">
        <v>16</v>
      </c>
      <c r="D22" t="s">
        <v>13</v>
      </c>
      <c r="E22" t="s">
        <v>10</v>
      </c>
      <c r="F22" t="s">
        <v>42</v>
      </c>
      <c r="G22">
        <v>9.9929000000000006</v>
      </c>
      <c r="H22" t="str">
        <f t="shared" si="1"/>
        <v>ok</v>
      </c>
    </row>
    <row r="23" spans="1:8" x14ac:dyDescent="0.3">
      <c r="A23" s="2">
        <v>46023</v>
      </c>
      <c r="B23" t="s">
        <v>7</v>
      </c>
      <c r="C23" t="s">
        <v>8</v>
      </c>
      <c r="D23" t="s">
        <v>34</v>
      </c>
      <c r="E23" t="s">
        <v>21</v>
      </c>
      <c r="F23" t="s">
        <v>43</v>
      </c>
      <c r="G23">
        <v>10.0116</v>
      </c>
      <c r="H23" t="str">
        <f t="shared" si="1"/>
        <v>ok</v>
      </c>
    </row>
    <row r="24" spans="1:8" x14ac:dyDescent="0.3">
      <c r="A24" s="2">
        <v>46023</v>
      </c>
      <c r="B24" t="s">
        <v>7</v>
      </c>
      <c r="C24" t="s">
        <v>19</v>
      </c>
      <c r="D24" t="s">
        <v>17</v>
      </c>
      <c r="E24" t="s">
        <v>36</v>
      </c>
      <c r="F24" t="s">
        <v>44</v>
      </c>
      <c r="G24">
        <v>10.0205</v>
      </c>
      <c r="H24" t="str">
        <f t="shared" si="1"/>
        <v>ok</v>
      </c>
    </row>
    <row r="25" spans="1:8" x14ac:dyDescent="0.3">
      <c r="A25" s="2">
        <v>46023</v>
      </c>
      <c r="B25" t="s">
        <v>23</v>
      </c>
      <c r="C25" t="s">
        <v>8</v>
      </c>
      <c r="D25" t="s">
        <v>34</v>
      </c>
      <c r="E25" t="s">
        <v>14</v>
      </c>
      <c r="F25" t="s">
        <v>45</v>
      </c>
      <c r="G25">
        <v>9.9921000000000006</v>
      </c>
      <c r="H25" t="str">
        <f t="shared" si="1"/>
        <v>ok</v>
      </c>
    </row>
    <row r="26" spans="1:8" x14ac:dyDescent="0.3">
      <c r="A26" s="2">
        <v>46023</v>
      </c>
      <c r="B26" t="s">
        <v>12</v>
      </c>
      <c r="C26" t="s">
        <v>8</v>
      </c>
      <c r="D26" t="s">
        <v>13</v>
      </c>
      <c r="E26" t="s">
        <v>14</v>
      </c>
      <c r="F26" t="s">
        <v>46</v>
      </c>
      <c r="G26">
        <v>9.9983000000000004</v>
      </c>
      <c r="H26" t="str">
        <f t="shared" si="1"/>
        <v>ok</v>
      </c>
    </row>
    <row r="27" spans="1:8" x14ac:dyDescent="0.3">
      <c r="A27" s="2">
        <v>46023</v>
      </c>
      <c r="B27" t="s">
        <v>12</v>
      </c>
      <c r="C27" t="s">
        <v>8</v>
      </c>
      <c r="D27" t="s">
        <v>34</v>
      </c>
      <c r="E27" t="s">
        <v>28</v>
      </c>
      <c r="F27" t="s">
        <v>47</v>
      </c>
      <c r="G27">
        <v>10.021000000000001</v>
      </c>
      <c r="H27" t="str">
        <f t="shared" si="1"/>
        <v>ok</v>
      </c>
    </row>
    <row r="28" spans="1:8" x14ac:dyDescent="0.3">
      <c r="A28" s="2">
        <v>46023</v>
      </c>
      <c r="B28" t="s">
        <v>23</v>
      </c>
      <c r="C28" t="s">
        <v>16</v>
      </c>
      <c r="D28" t="s">
        <v>17</v>
      </c>
      <c r="E28" t="s">
        <v>14</v>
      </c>
      <c r="F28" t="s">
        <v>48</v>
      </c>
      <c r="G28">
        <v>9.9909999999999997</v>
      </c>
      <c r="H28" t="str">
        <f t="shared" si="1"/>
        <v>ok</v>
      </c>
    </row>
    <row r="29" spans="1:8" x14ac:dyDescent="0.3">
      <c r="A29" s="2">
        <v>46023</v>
      </c>
      <c r="B29" t="s">
        <v>23</v>
      </c>
      <c r="C29" t="s">
        <v>8</v>
      </c>
      <c r="D29" t="s">
        <v>9</v>
      </c>
      <c r="E29" t="s">
        <v>28</v>
      </c>
      <c r="F29" t="s">
        <v>49</v>
      </c>
      <c r="G29">
        <v>9.9878999999999998</v>
      </c>
      <c r="H29" t="str">
        <f t="shared" si="1"/>
        <v>ok</v>
      </c>
    </row>
    <row r="30" spans="1:8" x14ac:dyDescent="0.3">
      <c r="A30" s="2">
        <v>46023</v>
      </c>
      <c r="B30" t="s">
        <v>7</v>
      </c>
      <c r="C30" t="s">
        <v>16</v>
      </c>
      <c r="D30" t="s">
        <v>34</v>
      </c>
      <c r="E30" t="s">
        <v>28</v>
      </c>
      <c r="F30" t="s">
        <v>50</v>
      </c>
      <c r="G30">
        <v>10.0122</v>
      </c>
      <c r="H30" t="str">
        <f t="shared" si="1"/>
        <v>ok</v>
      </c>
    </row>
    <row r="31" spans="1:8" x14ac:dyDescent="0.3">
      <c r="A31" s="2">
        <v>46023</v>
      </c>
      <c r="B31" t="s">
        <v>23</v>
      </c>
      <c r="C31" t="s">
        <v>19</v>
      </c>
      <c r="D31" t="s">
        <v>17</v>
      </c>
      <c r="E31" t="s">
        <v>36</v>
      </c>
      <c r="F31" t="s">
        <v>51</v>
      </c>
      <c r="G31">
        <v>10.021000000000001</v>
      </c>
      <c r="H31" t="str">
        <f t="shared" si="1"/>
        <v>ok</v>
      </c>
    </row>
    <row r="32" spans="1:8" x14ac:dyDescent="0.3">
      <c r="A32" s="2">
        <v>46023</v>
      </c>
      <c r="B32" t="s">
        <v>23</v>
      </c>
      <c r="C32" t="s">
        <v>16</v>
      </c>
      <c r="D32" t="s">
        <v>17</v>
      </c>
      <c r="E32" t="s">
        <v>28</v>
      </c>
      <c r="F32" t="s">
        <v>52</v>
      </c>
      <c r="G32">
        <v>9.9992999999999999</v>
      </c>
      <c r="H32" t="str">
        <f t="shared" si="1"/>
        <v>ok</v>
      </c>
    </row>
    <row r="33" spans="1:8" x14ac:dyDescent="0.3">
      <c r="A33" s="2">
        <v>46023</v>
      </c>
      <c r="B33" t="s">
        <v>7</v>
      </c>
      <c r="C33" t="s">
        <v>19</v>
      </c>
      <c r="D33" t="s">
        <v>34</v>
      </c>
      <c r="E33" t="s">
        <v>28</v>
      </c>
      <c r="F33" t="s">
        <v>53</v>
      </c>
      <c r="G33">
        <v>10.042</v>
      </c>
      <c r="H33" t="str">
        <f t="shared" si="1"/>
        <v>ok</v>
      </c>
    </row>
    <row r="34" spans="1:8" x14ac:dyDescent="0.3">
      <c r="A34" s="2">
        <v>46023</v>
      </c>
      <c r="B34" t="s">
        <v>12</v>
      </c>
      <c r="C34" t="s">
        <v>19</v>
      </c>
      <c r="D34" t="s">
        <v>34</v>
      </c>
      <c r="E34" t="s">
        <v>21</v>
      </c>
      <c r="F34" t="s">
        <v>54</v>
      </c>
      <c r="G34">
        <v>10.057700000000001</v>
      </c>
      <c r="H34" t="str">
        <f t="shared" si="1"/>
        <v>ok</v>
      </c>
    </row>
    <row r="35" spans="1:8" x14ac:dyDescent="0.3">
      <c r="A35" s="2">
        <v>46023</v>
      </c>
      <c r="B35" t="s">
        <v>7</v>
      </c>
      <c r="C35" t="s">
        <v>19</v>
      </c>
      <c r="D35" t="s">
        <v>34</v>
      </c>
      <c r="E35" t="s">
        <v>21</v>
      </c>
      <c r="F35" t="s">
        <v>55</v>
      </c>
      <c r="G35">
        <v>9.9969000000000001</v>
      </c>
      <c r="H35" t="str">
        <f t="shared" si="1"/>
        <v>ok</v>
      </c>
    </row>
    <row r="36" spans="1:8" x14ac:dyDescent="0.3">
      <c r="A36" s="2">
        <v>46023</v>
      </c>
      <c r="B36" t="s">
        <v>23</v>
      </c>
      <c r="C36" t="s">
        <v>8</v>
      </c>
      <c r="D36" t="s">
        <v>9</v>
      </c>
      <c r="E36" t="s">
        <v>28</v>
      </c>
      <c r="F36" t="s">
        <v>56</v>
      </c>
      <c r="G36">
        <v>9.9954999999999998</v>
      </c>
      <c r="H36" t="str">
        <f t="shared" si="1"/>
        <v>ok</v>
      </c>
    </row>
    <row r="37" spans="1:8" x14ac:dyDescent="0.3">
      <c r="A37" s="2">
        <v>46023</v>
      </c>
      <c r="B37" t="s">
        <v>7</v>
      </c>
      <c r="C37" t="s">
        <v>8</v>
      </c>
      <c r="D37" t="s">
        <v>9</v>
      </c>
      <c r="E37" t="s">
        <v>14</v>
      </c>
      <c r="F37" t="s">
        <v>57</v>
      </c>
      <c r="G37">
        <v>10.011799999999999</v>
      </c>
      <c r="H37" t="str">
        <f t="shared" si="1"/>
        <v>ok</v>
      </c>
    </row>
    <row r="38" spans="1:8" x14ac:dyDescent="0.3">
      <c r="A38" s="2">
        <v>46023</v>
      </c>
      <c r="B38" t="s">
        <v>12</v>
      </c>
      <c r="C38" t="s">
        <v>19</v>
      </c>
      <c r="D38" t="s">
        <v>17</v>
      </c>
      <c r="E38" t="s">
        <v>10</v>
      </c>
      <c r="F38" t="s">
        <v>58</v>
      </c>
      <c r="G38">
        <v>10.0046</v>
      </c>
      <c r="H38" t="str">
        <f t="shared" si="1"/>
        <v>ok</v>
      </c>
    </row>
    <row r="39" spans="1:8" x14ac:dyDescent="0.3">
      <c r="A39" s="2">
        <v>46023</v>
      </c>
      <c r="B39" t="s">
        <v>12</v>
      </c>
      <c r="C39" t="s">
        <v>16</v>
      </c>
      <c r="D39" t="s">
        <v>13</v>
      </c>
      <c r="E39" t="s">
        <v>14</v>
      </c>
      <c r="F39" t="s">
        <v>59</v>
      </c>
      <c r="G39">
        <v>10.053699999999999</v>
      </c>
      <c r="H39" t="str">
        <f t="shared" si="1"/>
        <v>ok</v>
      </c>
    </row>
    <row r="40" spans="1:8" x14ac:dyDescent="0.3">
      <c r="A40" s="2">
        <v>46023</v>
      </c>
      <c r="B40" t="s">
        <v>23</v>
      </c>
      <c r="C40" t="s">
        <v>8</v>
      </c>
      <c r="D40" t="s">
        <v>34</v>
      </c>
      <c r="E40" t="s">
        <v>28</v>
      </c>
      <c r="F40" t="s">
        <v>60</v>
      </c>
      <c r="G40">
        <v>10.010400000000001</v>
      </c>
      <c r="H40" t="str">
        <f t="shared" si="1"/>
        <v>ok</v>
      </c>
    </row>
    <row r="41" spans="1:8" x14ac:dyDescent="0.3">
      <c r="A41" s="2">
        <v>46023</v>
      </c>
      <c r="B41" t="s">
        <v>12</v>
      </c>
      <c r="C41" t="s">
        <v>19</v>
      </c>
      <c r="D41" t="s">
        <v>17</v>
      </c>
      <c r="E41" t="s">
        <v>14</v>
      </c>
      <c r="F41" t="s">
        <v>61</v>
      </c>
      <c r="G41">
        <v>10.0601</v>
      </c>
      <c r="H41" t="str">
        <f t="shared" si="1"/>
        <v>ok</v>
      </c>
    </row>
    <row r="42" spans="1:8" x14ac:dyDescent="0.3">
      <c r="A42" s="2">
        <v>46023</v>
      </c>
      <c r="B42" t="s">
        <v>12</v>
      </c>
      <c r="C42" t="s">
        <v>8</v>
      </c>
      <c r="D42" t="s">
        <v>17</v>
      </c>
      <c r="E42" t="s">
        <v>14</v>
      </c>
      <c r="F42" t="s">
        <v>62</v>
      </c>
      <c r="G42">
        <v>10.044</v>
      </c>
      <c r="H42" t="str">
        <f t="shared" si="1"/>
        <v>ok</v>
      </c>
    </row>
    <row r="43" spans="1:8" x14ac:dyDescent="0.3">
      <c r="A43" s="2">
        <v>46023</v>
      </c>
      <c r="B43" t="s">
        <v>12</v>
      </c>
      <c r="C43" t="s">
        <v>16</v>
      </c>
      <c r="D43" t="s">
        <v>17</v>
      </c>
      <c r="E43" t="s">
        <v>36</v>
      </c>
      <c r="F43" t="s">
        <v>63</v>
      </c>
      <c r="G43">
        <v>10.0365</v>
      </c>
      <c r="H43" t="str">
        <f t="shared" si="1"/>
        <v>ok</v>
      </c>
    </row>
    <row r="44" spans="1:8" x14ac:dyDescent="0.3">
      <c r="A44" s="2">
        <v>46023</v>
      </c>
      <c r="B44" t="s">
        <v>12</v>
      </c>
      <c r="C44" t="s">
        <v>16</v>
      </c>
      <c r="D44" t="s">
        <v>13</v>
      </c>
      <c r="E44" t="s">
        <v>28</v>
      </c>
      <c r="F44" t="s">
        <v>64</v>
      </c>
      <c r="G44">
        <v>9.9883000000000006</v>
      </c>
      <c r="H44" t="str">
        <f t="shared" si="1"/>
        <v>ok</v>
      </c>
    </row>
    <row r="45" spans="1:8" x14ac:dyDescent="0.3">
      <c r="A45" s="2">
        <v>46023</v>
      </c>
      <c r="B45" t="s">
        <v>23</v>
      </c>
      <c r="C45" t="s">
        <v>19</v>
      </c>
      <c r="D45" t="s">
        <v>9</v>
      </c>
      <c r="E45" t="s">
        <v>36</v>
      </c>
      <c r="F45" t="s">
        <v>65</v>
      </c>
      <c r="G45">
        <v>9.9885999999999999</v>
      </c>
      <c r="H45" t="str">
        <f t="shared" si="1"/>
        <v>ok</v>
      </c>
    </row>
    <row r="46" spans="1:8" x14ac:dyDescent="0.3">
      <c r="A46" s="2">
        <v>46023</v>
      </c>
      <c r="B46" t="s">
        <v>7</v>
      </c>
      <c r="C46" t="s">
        <v>16</v>
      </c>
      <c r="D46" t="s">
        <v>9</v>
      </c>
      <c r="E46" t="s">
        <v>21</v>
      </c>
      <c r="F46" t="s">
        <v>66</v>
      </c>
      <c r="G46">
        <v>9.9769000000000005</v>
      </c>
      <c r="H46" t="str">
        <f t="shared" si="1"/>
        <v>ok</v>
      </c>
    </row>
    <row r="47" spans="1:8" x14ac:dyDescent="0.3">
      <c r="A47" s="2">
        <v>46023</v>
      </c>
      <c r="B47" t="s">
        <v>23</v>
      </c>
      <c r="C47" t="s">
        <v>19</v>
      </c>
      <c r="D47" t="s">
        <v>34</v>
      </c>
      <c r="E47" t="s">
        <v>21</v>
      </c>
      <c r="F47" t="s">
        <v>67</v>
      </c>
      <c r="G47">
        <v>9.9962</v>
      </c>
      <c r="H47" t="str">
        <f t="shared" si="1"/>
        <v>ok</v>
      </c>
    </row>
    <row r="48" spans="1:8" x14ac:dyDescent="0.3">
      <c r="A48" s="2">
        <v>46023</v>
      </c>
      <c r="B48" t="s">
        <v>7</v>
      </c>
      <c r="C48" t="s">
        <v>16</v>
      </c>
      <c r="D48" t="s">
        <v>34</v>
      </c>
      <c r="E48" t="s">
        <v>36</v>
      </c>
      <c r="F48" t="s">
        <v>68</v>
      </c>
      <c r="G48">
        <v>9.9579000000000004</v>
      </c>
      <c r="H48" t="str">
        <f t="shared" si="1"/>
        <v>ok</v>
      </c>
    </row>
    <row r="49" spans="1:8" x14ac:dyDescent="0.3">
      <c r="A49" s="2">
        <v>46023</v>
      </c>
      <c r="B49" t="s">
        <v>7</v>
      </c>
      <c r="C49" t="s">
        <v>19</v>
      </c>
      <c r="D49" t="s">
        <v>34</v>
      </c>
      <c r="E49" t="s">
        <v>21</v>
      </c>
      <c r="F49" t="s">
        <v>69</v>
      </c>
      <c r="G49">
        <v>10.013299999999999</v>
      </c>
      <c r="H49" t="str">
        <f t="shared" si="1"/>
        <v>ok</v>
      </c>
    </row>
    <row r="50" spans="1:8" x14ac:dyDescent="0.3">
      <c r="A50" s="2">
        <v>46023</v>
      </c>
      <c r="B50" t="s">
        <v>12</v>
      </c>
      <c r="C50" t="s">
        <v>19</v>
      </c>
      <c r="D50" t="s">
        <v>34</v>
      </c>
      <c r="E50" t="s">
        <v>10</v>
      </c>
      <c r="F50" t="s">
        <v>70</v>
      </c>
      <c r="G50">
        <v>10.059900000000001</v>
      </c>
      <c r="H50" t="str">
        <f t="shared" si="1"/>
        <v>ok</v>
      </c>
    </row>
    <row r="51" spans="1:8" x14ac:dyDescent="0.3">
      <c r="A51" s="2">
        <v>46023</v>
      </c>
      <c r="B51" t="s">
        <v>7</v>
      </c>
      <c r="C51" t="s">
        <v>8</v>
      </c>
      <c r="D51" t="s">
        <v>34</v>
      </c>
      <c r="E51" t="s">
        <v>21</v>
      </c>
      <c r="F51" t="s">
        <v>71</v>
      </c>
      <c r="G51">
        <v>9.9984999999999999</v>
      </c>
      <c r="H51" t="str">
        <f t="shared" si="1"/>
        <v>ok</v>
      </c>
    </row>
    <row r="52" spans="1:8" x14ac:dyDescent="0.3">
      <c r="A52" s="2">
        <v>46024</v>
      </c>
      <c r="B52" t="s">
        <v>7</v>
      </c>
      <c r="C52" t="s">
        <v>8</v>
      </c>
      <c r="D52" t="s">
        <v>13</v>
      </c>
      <c r="E52" t="s">
        <v>10</v>
      </c>
      <c r="F52" t="s">
        <v>72</v>
      </c>
      <c r="G52">
        <v>10.0136</v>
      </c>
      <c r="H52" t="str">
        <f t="shared" si="1"/>
        <v>ok</v>
      </c>
    </row>
    <row r="53" spans="1:8" x14ac:dyDescent="0.3">
      <c r="A53" s="2">
        <v>46024</v>
      </c>
      <c r="B53" t="s">
        <v>7</v>
      </c>
      <c r="C53" t="s">
        <v>16</v>
      </c>
      <c r="D53" t="s">
        <v>13</v>
      </c>
      <c r="E53" t="s">
        <v>28</v>
      </c>
      <c r="F53" t="s">
        <v>73</v>
      </c>
      <c r="G53">
        <v>9.9901999999999997</v>
      </c>
      <c r="H53" t="str">
        <f t="shared" si="1"/>
        <v>ok</v>
      </c>
    </row>
    <row r="54" spans="1:8" x14ac:dyDescent="0.3">
      <c r="A54" s="2">
        <v>46024</v>
      </c>
      <c r="B54" t="s">
        <v>23</v>
      </c>
      <c r="C54" t="s">
        <v>19</v>
      </c>
      <c r="D54" t="s">
        <v>34</v>
      </c>
      <c r="E54" t="s">
        <v>28</v>
      </c>
      <c r="F54" t="s">
        <v>74</v>
      </c>
      <c r="G54">
        <v>10.0029</v>
      </c>
      <c r="H54" t="str">
        <f t="shared" si="1"/>
        <v>ok</v>
      </c>
    </row>
    <row r="55" spans="1:8" x14ac:dyDescent="0.3">
      <c r="A55" s="2">
        <v>46024</v>
      </c>
      <c r="B55" t="s">
        <v>7</v>
      </c>
      <c r="C55" t="s">
        <v>8</v>
      </c>
      <c r="D55" t="s">
        <v>13</v>
      </c>
      <c r="E55" t="s">
        <v>10</v>
      </c>
      <c r="F55" t="s">
        <v>75</v>
      </c>
      <c r="G55">
        <v>10.035299999999999</v>
      </c>
      <c r="H55" t="str">
        <f t="shared" si="1"/>
        <v>ok</v>
      </c>
    </row>
    <row r="56" spans="1:8" x14ac:dyDescent="0.3">
      <c r="A56" s="2">
        <v>46024</v>
      </c>
      <c r="B56" t="s">
        <v>7</v>
      </c>
      <c r="C56" t="s">
        <v>16</v>
      </c>
      <c r="D56" t="s">
        <v>9</v>
      </c>
      <c r="E56" t="s">
        <v>21</v>
      </c>
      <c r="F56" t="s">
        <v>76</v>
      </c>
      <c r="G56">
        <v>9.9981000000000009</v>
      </c>
      <c r="H56" t="str">
        <f t="shared" si="1"/>
        <v>ok</v>
      </c>
    </row>
    <row r="57" spans="1:8" x14ac:dyDescent="0.3">
      <c r="A57" s="2">
        <v>46024</v>
      </c>
      <c r="B57" t="s">
        <v>23</v>
      </c>
      <c r="C57" t="s">
        <v>16</v>
      </c>
      <c r="D57" t="s">
        <v>34</v>
      </c>
      <c r="E57" t="s">
        <v>10</v>
      </c>
      <c r="F57" t="s">
        <v>77</v>
      </c>
      <c r="G57">
        <v>10.014900000000001</v>
      </c>
      <c r="H57" t="str">
        <f t="shared" si="1"/>
        <v>ok</v>
      </c>
    </row>
    <row r="58" spans="1:8" x14ac:dyDescent="0.3">
      <c r="A58" s="2">
        <v>46024</v>
      </c>
      <c r="B58" t="s">
        <v>23</v>
      </c>
      <c r="C58" t="s">
        <v>16</v>
      </c>
      <c r="D58" t="s">
        <v>34</v>
      </c>
      <c r="E58" t="s">
        <v>36</v>
      </c>
      <c r="F58" t="s">
        <v>78</v>
      </c>
      <c r="G58">
        <v>9.9832000000000001</v>
      </c>
      <c r="H58" t="str">
        <f t="shared" si="1"/>
        <v>ok</v>
      </c>
    </row>
    <row r="59" spans="1:8" x14ac:dyDescent="0.3">
      <c r="A59" s="2">
        <v>46024</v>
      </c>
      <c r="B59" t="s">
        <v>12</v>
      </c>
      <c r="C59" t="s">
        <v>16</v>
      </c>
      <c r="D59" t="s">
        <v>34</v>
      </c>
      <c r="E59" t="s">
        <v>10</v>
      </c>
      <c r="F59" t="s">
        <v>79</v>
      </c>
      <c r="G59">
        <v>10.0357</v>
      </c>
      <c r="H59" t="str">
        <f t="shared" si="1"/>
        <v>ok</v>
      </c>
    </row>
    <row r="60" spans="1:8" x14ac:dyDescent="0.3">
      <c r="A60" s="2">
        <v>46024</v>
      </c>
      <c r="B60" t="s">
        <v>12</v>
      </c>
      <c r="C60" t="s">
        <v>19</v>
      </c>
      <c r="D60" t="s">
        <v>9</v>
      </c>
      <c r="E60" t="s">
        <v>28</v>
      </c>
      <c r="F60" t="s">
        <v>80</v>
      </c>
      <c r="G60">
        <v>10.080299999999999</v>
      </c>
      <c r="H60" t="str">
        <f t="shared" si="1"/>
        <v>ok</v>
      </c>
    </row>
    <row r="61" spans="1:8" x14ac:dyDescent="0.3">
      <c r="A61" s="2">
        <v>46024</v>
      </c>
      <c r="B61" t="s">
        <v>12</v>
      </c>
      <c r="C61" t="s">
        <v>19</v>
      </c>
      <c r="D61" t="s">
        <v>34</v>
      </c>
      <c r="E61" t="s">
        <v>28</v>
      </c>
      <c r="F61" t="s">
        <v>81</v>
      </c>
      <c r="G61">
        <v>10.047700000000001</v>
      </c>
      <c r="H61" t="str">
        <f t="shared" si="1"/>
        <v>ok</v>
      </c>
    </row>
    <row r="62" spans="1:8" x14ac:dyDescent="0.3">
      <c r="A62" s="2">
        <v>46024</v>
      </c>
      <c r="B62" t="s">
        <v>7</v>
      </c>
      <c r="C62" t="s">
        <v>8</v>
      </c>
      <c r="D62" t="s">
        <v>34</v>
      </c>
      <c r="E62" t="s">
        <v>14</v>
      </c>
      <c r="F62" t="s">
        <v>82</v>
      </c>
      <c r="G62">
        <v>9.9663000000000004</v>
      </c>
      <c r="H62" t="str">
        <f t="shared" si="1"/>
        <v>ok</v>
      </c>
    </row>
    <row r="63" spans="1:8" x14ac:dyDescent="0.3">
      <c r="A63" s="2">
        <v>46024</v>
      </c>
      <c r="B63" t="s">
        <v>7</v>
      </c>
      <c r="C63" t="s">
        <v>19</v>
      </c>
      <c r="D63" t="s">
        <v>13</v>
      </c>
      <c r="E63" t="s">
        <v>36</v>
      </c>
      <c r="F63" t="s">
        <v>83</v>
      </c>
      <c r="G63">
        <v>9.9855</v>
      </c>
      <c r="H63" t="str">
        <f t="shared" si="1"/>
        <v>ok</v>
      </c>
    </row>
    <row r="64" spans="1:8" x14ac:dyDescent="0.3">
      <c r="A64" s="2">
        <v>46024</v>
      </c>
      <c r="B64" t="s">
        <v>7</v>
      </c>
      <c r="C64" t="s">
        <v>8</v>
      </c>
      <c r="D64" t="s">
        <v>9</v>
      </c>
      <c r="E64" t="s">
        <v>10</v>
      </c>
      <c r="F64" t="s">
        <v>84</v>
      </c>
      <c r="G64">
        <v>10.0006</v>
      </c>
      <c r="H64" t="str">
        <f t="shared" si="1"/>
        <v>ok</v>
      </c>
    </row>
    <row r="65" spans="1:8" x14ac:dyDescent="0.3">
      <c r="A65" s="2">
        <v>46024</v>
      </c>
      <c r="B65" t="s">
        <v>7</v>
      </c>
      <c r="C65" t="s">
        <v>19</v>
      </c>
      <c r="D65" t="s">
        <v>9</v>
      </c>
      <c r="E65" t="s">
        <v>21</v>
      </c>
      <c r="F65" t="s">
        <v>85</v>
      </c>
      <c r="G65">
        <v>9.9920000000000009</v>
      </c>
      <c r="H65" t="str">
        <f t="shared" si="1"/>
        <v>ok</v>
      </c>
    </row>
    <row r="66" spans="1:8" x14ac:dyDescent="0.3">
      <c r="A66" s="2">
        <v>46024</v>
      </c>
      <c r="B66" t="s">
        <v>23</v>
      </c>
      <c r="C66" t="s">
        <v>19</v>
      </c>
      <c r="D66" t="s">
        <v>34</v>
      </c>
      <c r="E66" t="s">
        <v>21</v>
      </c>
      <c r="F66" t="s">
        <v>86</v>
      </c>
      <c r="G66">
        <v>10.016999999999999</v>
      </c>
      <c r="H66" t="str">
        <f t="shared" si="1"/>
        <v>ok</v>
      </c>
    </row>
    <row r="67" spans="1:8" x14ac:dyDescent="0.3">
      <c r="A67" s="2">
        <v>46024</v>
      </c>
      <c r="B67" t="s">
        <v>23</v>
      </c>
      <c r="C67" t="s">
        <v>16</v>
      </c>
      <c r="D67" t="s">
        <v>9</v>
      </c>
      <c r="E67" t="s">
        <v>14</v>
      </c>
      <c r="F67" t="s">
        <v>87</v>
      </c>
      <c r="G67">
        <v>9.9657</v>
      </c>
      <c r="H67" t="str">
        <f t="shared" si="1"/>
        <v>ok</v>
      </c>
    </row>
    <row r="68" spans="1:8" x14ac:dyDescent="0.3">
      <c r="A68" s="2">
        <v>46024</v>
      </c>
      <c r="B68" t="s">
        <v>12</v>
      </c>
      <c r="C68" t="s">
        <v>8</v>
      </c>
      <c r="D68" t="s">
        <v>9</v>
      </c>
      <c r="E68" t="s">
        <v>21</v>
      </c>
      <c r="F68" t="s">
        <v>88</v>
      </c>
      <c r="G68">
        <v>10.0558</v>
      </c>
      <c r="H68" t="str">
        <f t="shared" si="1"/>
        <v>ok</v>
      </c>
    </row>
    <row r="69" spans="1:8" x14ac:dyDescent="0.3">
      <c r="A69" s="2">
        <v>46024</v>
      </c>
      <c r="B69" t="s">
        <v>12</v>
      </c>
      <c r="C69" t="s">
        <v>19</v>
      </c>
      <c r="D69" t="s">
        <v>13</v>
      </c>
      <c r="E69" t="s">
        <v>10</v>
      </c>
      <c r="F69" t="s">
        <v>89</v>
      </c>
      <c r="G69">
        <v>9.9938000000000002</v>
      </c>
      <c r="H69" t="str">
        <f t="shared" si="1"/>
        <v>ok</v>
      </c>
    </row>
    <row r="70" spans="1:8" x14ac:dyDescent="0.3">
      <c r="A70" s="2">
        <v>46024</v>
      </c>
      <c r="B70" t="s">
        <v>23</v>
      </c>
      <c r="C70" t="s">
        <v>8</v>
      </c>
      <c r="D70" t="s">
        <v>34</v>
      </c>
      <c r="E70" t="s">
        <v>10</v>
      </c>
      <c r="F70" t="s">
        <v>90</v>
      </c>
      <c r="G70">
        <v>9.9726999999999997</v>
      </c>
      <c r="H70" t="str">
        <f t="shared" ref="H70:H133" si="2">IF(OR(G70&gt;10.5,G70&lt;9.95),"Defect","ok")</f>
        <v>ok</v>
      </c>
    </row>
    <row r="71" spans="1:8" x14ac:dyDescent="0.3">
      <c r="A71" s="2">
        <v>46024</v>
      </c>
      <c r="B71" t="s">
        <v>7</v>
      </c>
      <c r="C71" t="s">
        <v>19</v>
      </c>
      <c r="D71" t="s">
        <v>34</v>
      </c>
      <c r="E71" t="s">
        <v>36</v>
      </c>
      <c r="F71" t="s">
        <v>91</v>
      </c>
      <c r="G71">
        <v>10.022399999999999</v>
      </c>
      <c r="H71" t="str">
        <f t="shared" si="2"/>
        <v>ok</v>
      </c>
    </row>
    <row r="72" spans="1:8" x14ac:dyDescent="0.3">
      <c r="A72" s="2">
        <v>46024</v>
      </c>
      <c r="B72" t="s">
        <v>23</v>
      </c>
      <c r="C72" t="s">
        <v>19</v>
      </c>
      <c r="D72" t="s">
        <v>13</v>
      </c>
      <c r="E72" t="s">
        <v>14</v>
      </c>
      <c r="F72" t="s">
        <v>92</v>
      </c>
      <c r="G72">
        <v>10.0083</v>
      </c>
      <c r="H72" t="str">
        <f t="shared" si="2"/>
        <v>ok</v>
      </c>
    </row>
    <row r="73" spans="1:8" x14ac:dyDescent="0.3">
      <c r="A73" s="2">
        <v>46024</v>
      </c>
      <c r="B73" t="s">
        <v>12</v>
      </c>
      <c r="C73" t="s">
        <v>19</v>
      </c>
      <c r="D73" t="s">
        <v>13</v>
      </c>
      <c r="E73" t="s">
        <v>36</v>
      </c>
      <c r="F73" t="s">
        <v>93</v>
      </c>
      <c r="G73">
        <v>10.0777</v>
      </c>
      <c r="H73" t="str">
        <f t="shared" si="2"/>
        <v>ok</v>
      </c>
    </row>
    <row r="74" spans="1:8" x14ac:dyDescent="0.3">
      <c r="A74" s="2">
        <v>46024</v>
      </c>
      <c r="B74" t="s">
        <v>7</v>
      </c>
      <c r="C74" t="s">
        <v>19</v>
      </c>
      <c r="D74" t="s">
        <v>17</v>
      </c>
      <c r="E74" t="s">
        <v>28</v>
      </c>
      <c r="F74" t="s">
        <v>94</v>
      </c>
      <c r="G74">
        <v>10.013500000000001</v>
      </c>
      <c r="H74" t="str">
        <f t="shared" si="2"/>
        <v>ok</v>
      </c>
    </row>
    <row r="75" spans="1:8" x14ac:dyDescent="0.3">
      <c r="A75" s="2">
        <v>46024</v>
      </c>
      <c r="B75" t="s">
        <v>7</v>
      </c>
      <c r="C75" t="s">
        <v>8</v>
      </c>
      <c r="D75" t="s">
        <v>9</v>
      </c>
      <c r="E75" t="s">
        <v>10</v>
      </c>
      <c r="F75" t="s">
        <v>95</v>
      </c>
      <c r="G75">
        <v>9.9985999999999997</v>
      </c>
      <c r="H75" t="str">
        <f t="shared" si="2"/>
        <v>ok</v>
      </c>
    </row>
    <row r="76" spans="1:8" x14ac:dyDescent="0.3">
      <c r="A76" s="2">
        <v>46024</v>
      </c>
      <c r="B76" t="s">
        <v>23</v>
      </c>
      <c r="C76" t="s">
        <v>19</v>
      </c>
      <c r="D76" t="s">
        <v>34</v>
      </c>
      <c r="E76" t="s">
        <v>28</v>
      </c>
      <c r="F76" t="s">
        <v>96</v>
      </c>
      <c r="G76">
        <v>10.0076</v>
      </c>
      <c r="H76" t="str">
        <f t="shared" si="2"/>
        <v>ok</v>
      </c>
    </row>
    <row r="77" spans="1:8" x14ac:dyDescent="0.3">
      <c r="A77" s="2">
        <v>46024</v>
      </c>
      <c r="B77" t="s">
        <v>23</v>
      </c>
      <c r="C77" t="s">
        <v>19</v>
      </c>
      <c r="D77" t="s">
        <v>34</v>
      </c>
      <c r="E77" t="s">
        <v>36</v>
      </c>
      <c r="F77" t="s">
        <v>97</v>
      </c>
      <c r="G77">
        <v>9.9845000000000006</v>
      </c>
      <c r="H77" t="str">
        <f t="shared" si="2"/>
        <v>ok</v>
      </c>
    </row>
    <row r="78" spans="1:8" x14ac:dyDescent="0.3">
      <c r="A78" s="2">
        <v>46024</v>
      </c>
      <c r="B78" t="s">
        <v>7</v>
      </c>
      <c r="C78" t="s">
        <v>19</v>
      </c>
      <c r="D78" t="s">
        <v>17</v>
      </c>
      <c r="E78" t="s">
        <v>10</v>
      </c>
      <c r="F78" t="s">
        <v>98</v>
      </c>
      <c r="G78">
        <v>10.004799999999999</v>
      </c>
      <c r="H78" t="str">
        <f t="shared" si="2"/>
        <v>ok</v>
      </c>
    </row>
    <row r="79" spans="1:8" x14ac:dyDescent="0.3">
      <c r="A79" s="2">
        <v>46024</v>
      </c>
      <c r="B79" t="s">
        <v>23</v>
      </c>
      <c r="C79" t="s">
        <v>8</v>
      </c>
      <c r="D79" t="s">
        <v>34</v>
      </c>
      <c r="E79" t="s">
        <v>14</v>
      </c>
      <c r="F79" t="s">
        <v>99</v>
      </c>
      <c r="G79">
        <v>10.0351</v>
      </c>
      <c r="H79" t="str">
        <f t="shared" si="2"/>
        <v>ok</v>
      </c>
    </row>
    <row r="80" spans="1:8" x14ac:dyDescent="0.3">
      <c r="A80" s="2">
        <v>46024</v>
      </c>
      <c r="B80" t="s">
        <v>7</v>
      </c>
      <c r="C80" t="s">
        <v>8</v>
      </c>
      <c r="D80" t="s">
        <v>17</v>
      </c>
      <c r="E80" t="s">
        <v>36</v>
      </c>
      <c r="F80" t="s">
        <v>100</v>
      </c>
      <c r="G80">
        <v>10.0015</v>
      </c>
      <c r="H80" t="str">
        <f t="shared" si="2"/>
        <v>ok</v>
      </c>
    </row>
    <row r="81" spans="1:8" x14ac:dyDescent="0.3">
      <c r="A81" s="2">
        <v>46024</v>
      </c>
      <c r="B81" t="s">
        <v>12</v>
      </c>
      <c r="C81" t="s">
        <v>19</v>
      </c>
      <c r="D81" t="s">
        <v>34</v>
      </c>
      <c r="E81" t="s">
        <v>10</v>
      </c>
      <c r="F81" t="s">
        <v>101</v>
      </c>
      <c r="G81">
        <v>9.9953000000000003</v>
      </c>
      <c r="H81" t="str">
        <f t="shared" si="2"/>
        <v>ok</v>
      </c>
    </row>
    <row r="82" spans="1:8" x14ac:dyDescent="0.3">
      <c r="A82" s="2">
        <v>46024</v>
      </c>
      <c r="B82" t="s">
        <v>23</v>
      </c>
      <c r="C82" t="s">
        <v>8</v>
      </c>
      <c r="D82" t="s">
        <v>9</v>
      </c>
      <c r="E82" t="s">
        <v>28</v>
      </c>
      <c r="F82" t="s">
        <v>102</v>
      </c>
      <c r="G82">
        <v>9.9806000000000008</v>
      </c>
      <c r="H82" t="str">
        <f t="shared" si="2"/>
        <v>ok</v>
      </c>
    </row>
    <row r="83" spans="1:8" x14ac:dyDescent="0.3">
      <c r="A83" s="2">
        <v>46024</v>
      </c>
      <c r="B83" t="s">
        <v>7</v>
      </c>
      <c r="C83" t="s">
        <v>8</v>
      </c>
      <c r="D83" t="s">
        <v>9</v>
      </c>
      <c r="E83" t="s">
        <v>14</v>
      </c>
      <c r="F83" t="s">
        <v>103</v>
      </c>
      <c r="G83">
        <v>9.9949999999999992</v>
      </c>
      <c r="H83" t="str">
        <f t="shared" si="2"/>
        <v>ok</v>
      </c>
    </row>
    <row r="84" spans="1:8" x14ac:dyDescent="0.3">
      <c r="A84" s="2">
        <v>46024</v>
      </c>
      <c r="B84" t="s">
        <v>23</v>
      </c>
      <c r="C84" t="s">
        <v>19</v>
      </c>
      <c r="D84" t="s">
        <v>13</v>
      </c>
      <c r="E84" t="s">
        <v>10</v>
      </c>
      <c r="F84" t="s">
        <v>104</v>
      </c>
      <c r="G84">
        <v>10.0183</v>
      </c>
      <c r="H84" t="str">
        <f t="shared" si="2"/>
        <v>ok</v>
      </c>
    </row>
    <row r="85" spans="1:8" x14ac:dyDescent="0.3">
      <c r="A85" s="2">
        <v>46024</v>
      </c>
      <c r="B85" t="s">
        <v>12</v>
      </c>
      <c r="C85" t="s">
        <v>8</v>
      </c>
      <c r="D85" t="s">
        <v>13</v>
      </c>
      <c r="E85" t="s">
        <v>36</v>
      </c>
      <c r="F85" t="s">
        <v>105</v>
      </c>
      <c r="G85">
        <v>9.9628999999999994</v>
      </c>
      <c r="H85" t="str">
        <f t="shared" si="2"/>
        <v>ok</v>
      </c>
    </row>
    <row r="86" spans="1:8" x14ac:dyDescent="0.3">
      <c r="A86" s="2">
        <v>46024</v>
      </c>
      <c r="B86" t="s">
        <v>7</v>
      </c>
      <c r="C86" t="s">
        <v>19</v>
      </c>
      <c r="D86" t="s">
        <v>13</v>
      </c>
      <c r="E86" t="s">
        <v>14</v>
      </c>
      <c r="F86" t="s">
        <v>106</v>
      </c>
      <c r="G86">
        <v>10.001300000000001</v>
      </c>
      <c r="H86" t="str">
        <f t="shared" si="2"/>
        <v>ok</v>
      </c>
    </row>
    <row r="87" spans="1:8" x14ac:dyDescent="0.3">
      <c r="A87" s="2">
        <v>46024</v>
      </c>
      <c r="B87" t="s">
        <v>12</v>
      </c>
      <c r="C87" t="s">
        <v>16</v>
      </c>
      <c r="D87" t="s">
        <v>17</v>
      </c>
      <c r="E87" t="s">
        <v>10</v>
      </c>
      <c r="F87" t="s">
        <v>107</v>
      </c>
      <c r="G87">
        <v>10.051</v>
      </c>
      <c r="H87" t="str">
        <f t="shared" si="2"/>
        <v>ok</v>
      </c>
    </row>
    <row r="88" spans="1:8" x14ac:dyDescent="0.3">
      <c r="A88" s="2">
        <v>46024</v>
      </c>
      <c r="B88" t="s">
        <v>7</v>
      </c>
      <c r="C88" t="s">
        <v>8</v>
      </c>
      <c r="D88" t="s">
        <v>9</v>
      </c>
      <c r="E88" t="s">
        <v>21</v>
      </c>
      <c r="F88" t="s">
        <v>108</v>
      </c>
      <c r="G88">
        <v>10.018599999999999</v>
      </c>
      <c r="H88" t="str">
        <f t="shared" si="2"/>
        <v>ok</v>
      </c>
    </row>
    <row r="89" spans="1:8" x14ac:dyDescent="0.3">
      <c r="A89" s="2">
        <v>46024</v>
      </c>
      <c r="B89" t="s">
        <v>23</v>
      </c>
      <c r="C89" t="s">
        <v>19</v>
      </c>
      <c r="D89" t="s">
        <v>13</v>
      </c>
      <c r="E89" t="s">
        <v>28</v>
      </c>
      <c r="F89" t="s">
        <v>109</v>
      </c>
      <c r="G89">
        <v>9.9802999999999997</v>
      </c>
      <c r="H89" t="str">
        <f t="shared" si="2"/>
        <v>ok</v>
      </c>
    </row>
    <row r="90" spans="1:8" x14ac:dyDescent="0.3">
      <c r="A90" s="2">
        <v>46024</v>
      </c>
      <c r="B90" t="s">
        <v>7</v>
      </c>
      <c r="C90" t="s">
        <v>19</v>
      </c>
      <c r="D90" t="s">
        <v>9</v>
      </c>
      <c r="E90" t="s">
        <v>28</v>
      </c>
      <c r="F90" t="s">
        <v>110</v>
      </c>
      <c r="G90">
        <v>10.0388</v>
      </c>
      <c r="H90" t="str">
        <f t="shared" si="2"/>
        <v>ok</v>
      </c>
    </row>
    <row r="91" spans="1:8" x14ac:dyDescent="0.3">
      <c r="A91" s="2">
        <v>46024</v>
      </c>
      <c r="B91" t="s">
        <v>23</v>
      </c>
      <c r="C91" t="s">
        <v>16</v>
      </c>
      <c r="D91" t="s">
        <v>13</v>
      </c>
      <c r="E91" t="s">
        <v>28</v>
      </c>
      <c r="F91" t="s">
        <v>111</v>
      </c>
      <c r="G91">
        <v>9.9972999999999992</v>
      </c>
      <c r="H91" t="str">
        <f t="shared" si="2"/>
        <v>ok</v>
      </c>
    </row>
    <row r="92" spans="1:8" x14ac:dyDescent="0.3">
      <c r="A92" s="2">
        <v>46024</v>
      </c>
      <c r="B92" t="s">
        <v>12</v>
      </c>
      <c r="C92" t="s">
        <v>19</v>
      </c>
      <c r="D92" t="s">
        <v>34</v>
      </c>
      <c r="E92" t="s">
        <v>14</v>
      </c>
      <c r="F92" t="s">
        <v>112</v>
      </c>
      <c r="G92">
        <v>10.0162</v>
      </c>
      <c r="H92" t="str">
        <f t="shared" si="2"/>
        <v>ok</v>
      </c>
    </row>
    <row r="93" spans="1:8" x14ac:dyDescent="0.3">
      <c r="A93" s="2">
        <v>46024</v>
      </c>
      <c r="B93" t="s">
        <v>23</v>
      </c>
      <c r="C93" t="s">
        <v>8</v>
      </c>
      <c r="D93" t="s">
        <v>9</v>
      </c>
      <c r="E93" t="s">
        <v>36</v>
      </c>
      <c r="F93" t="s">
        <v>113</v>
      </c>
      <c r="G93">
        <v>10.018700000000001</v>
      </c>
      <c r="H93" t="str">
        <f t="shared" si="2"/>
        <v>ok</v>
      </c>
    </row>
    <row r="94" spans="1:8" x14ac:dyDescent="0.3">
      <c r="A94" s="2">
        <v>46024</v>
      </c>
      <c r="B94" t="s">
        <v>12</v>
      </c>
      <c r="C94" t="s">
        <v>8</v>
      </c>
      <c r="D94" t="s">
        <v>9</v>
      </c>
      <c r="E94" t="s">
        <v>36</v>
      </c>
      <c r="F94" t="s">
        <v>114</v>
      </c>
      <c r="G94">
        <v>10.02</v>
      </c>
      <c r="H94" t="str">
        <f t="shared" si="2"/>
        <v>ok</v>
      </c>
    </row>
    <row r="95" spans="1:8" x14ac:dyDescent="0.3">
      <c r="A95" s="2">
        <v>46024</v>
      </c>
      <c r="B95" t="s">
        <v>23</v>
      </c>
      <c r="C95" t="s">
        <v>8</v>
      </c>
      <c r="D95" t="s">
        <v>9</v>
      </c>
      <c r="E95" t="s">
        <v>36</v>
      </c>
      <c r="F95" t="s">
        <v>115</v>
      </c>
      <c r="G95">
        <v>10.020799999999999</v>
      </c>
      <c r="H95" t="str">
        <f t="shared" si="2"/>
        <v>ok</v>
      </c>
    </row>
    <row r="96" spans="1:8" x14ac:dyDescent="0.3">
      <c r="A96" s="2">
        <v>46024</v>
      </c>
      <c r="B96" t="s">
        <v>7</v>
      </c>
      <c r="C96" t="s">
        <v>16</v>
      </c>
      <c r="D96" t="s">
        <v>17</v>
      </c>
      <c r="E96" t="s">
        <v>14</v>
      </c>
      <c r="F96" t="s">
        <v>116</v>
      </c>
      <c r="G96">
        <v>9.9948999999999995</v>
      </c>
      <c r="H96" t="str">
        <f t="shared" si="2"/>
        <v>ok</v>
      </c>
    </row>
    <row r="97" spans="1:8" x14ac:dyDescent="0.3">
      <c r="A97" s="2">
        <v>46024</v>
      </c>
      <c r="B97" t="s">
        <v>23</v>
      </c>
      <c r="C97" t="s">
        <v>16</v>
      </c>
      <c r="D97" t="s">
        <v>13</v>
      </c>
      <c r="E97" t="s">
        <v>10</v>
      </c>
      <c r="F97" t="s">
        <v>117</v>
      </c>
      <c r="G97">
        <v>9.9868000000000006</v>
      </c>
      <c r="H97" t="str">
        <f t="shared" si="2"/>
        <v>ok</v>
      </c>
    </row>
    <row r="98" spans="1:8" x14ac:dyDescent="0.3">
      <c r="A98" s="2">
        <v>46024</v>
      </c>
      <c r="B98" t="s">
        <v>23</v>
      </c>
      <c r="C98" t="s">
        <v>16</v>
      </c>
      <c r="D98" t="s">
        <v>34</v>
      </c>
      <c r="E98" t="s">
        <v>14</v>
      </c>
      <c r="F98" t="s">
        <v>118</v>
      </c>
      <c r="G98">
        <v>10.016400000000001</v>
      </c>
      <c r="H98" t="str">
        <f t="shared" si="2"/>
        <v>ok</v>
      </c>
    </row>
    <row r="99" spans="1:8" x14ac:dyDescent="0.3">
      <c r="A99" s="2">
        <v>46024</v>
      </c>
      <c r="B99" t="s">
        <v>7</v>
      </c>
      <c r="C99" t="s">
        <v>16</v>
      </c>
      <c r="D99" t="s">
        <v>17</v>
      </c>
      <c r="E99" t="s">
        <v>28</v>
      </c>
      <c r="F99" t="s">
        <v>119</v>
      </c>
      <c r="G99">
        <v>10.0037</v>
      </c>
      <c r="H99" t="str">
        <f t="shared" si="2"/>
        <v>ok</v>
      </c>
    </row>
    <row r="100" spans="1:8" x14ac:dyDescent="0.3">
      <c r="A100" s="2">
        <v>46024</v>
      </c>
      <c r="B100" t="s">
        <v>23</v>
      </c>
      <c r="C100" t="s">
        <v>8</v>
      </c>
      <c r="D100" t="s">
        <v>9</v>
      </c>
      <c r="E100" t="s">
        <v>36</v>
      </c>
      <c r="F100" t="s">
        <v>120</v>
      </c>
      <c r="G100">
        <v>9.9658999999999995</v>
      </c>
      <c r="H100" t="str">
        <f t="shared" si="2"/>
        <v>ok</v>
      </c>
    </row>
    <row r="101" spans="1:8" x14ac:dyDescent="0.3">
      <c r="A101" s="2">
        <v>46024</v>
      </c>
      <c r="B101" t="s">
        <v>12</v>
      </c>
      <c r="C101" t="s">
        <v>8</v>
      </c>
      <c r="D101" t="s">
        <v>13</v>
      </c>
      <c r="E101" t="s">
        <v>14</v>
      </c>
      <c r="F101" t="s">
        <v>121</v>
      </c>
      <c r="G101">
        <v>10.044700000000001</v>
      </c>
      <c r="H101" t="str">
        <f t="shared" si="2"/>
        <v>ok</v>
      </c>
    </row>
    <row r="102" spans="1:8" x14ac:dyDescent="0.3">
      <c r="A102" s="2">
        <v>46025</v>
      </c>
      <c r="B102" t="s">
        <v>23</v>
      </c>
      <c r="C102" t="s">
        <v>19</v>
      </c>
      <c r="D102" t="s">
        <v>34</v>
      </c>
      <c r="E102" t="s">
        <v>28</v>
      </c>
      <c r="F102" t="s">
        <v>122</v>
      </c>
      <c r="G102">
        <v>9.9907000000000004</v>
      </c>
      <c r="H102" t="str">
        <f t="shared" si="2"/>
        <v>ok</v>
      </c>
    </row>
    <row r="103" spans="1:8" x14ac:dyDescent="0.3">
      <c r="A103" s="2">
        <v>46025</v>
      </c>
      <c r="B103" t="s">
        <v>12</v>
      </c>
      <c r="C103" t="s">
        <v>8</v>
      </c>
      <c r="D103" t="s">
        <v>13</v>
      </c>
      <c r="E103" t="s">
        <v>10</v>
      </c>
      <c r="F103" t="s">
        <v>123</v>
      </c>
      <c r="G103">
        <v>9.9995999999999992</v>
      </c>
      <c r="H103" t="str">
        <f t="shared" si="2"/>
        <v>ok</v>
      </c>
    </row>
    <row r="104" spans="1:8" x14ac:dyDescent="0.3">
      <c r="A104" s="2">
        <v>46025</v>
      </c>
      <c r="B104" t="s">
        <v>12</v>
      </c>
      <c r="C104" t="s">
        <v>16</v>
      </c>
      <c r="D104" t="s">
        <v>13</v>
      </c>
      <c r="E104" t="s">
        <v>21</v>
      </c>
      <c r="F104" t="s">
        <v>124</v>
      </c>
      <c r="G104">
        <v>9.9751999999999992</v>
      </c>
      <c r="H104" t="str">
        <f t="shared" si="2"/>
        <v>ok</v>
      </c>
    </row>
    <row r="105" spans="1:8" x14ac:dyDescent="0.3">
      <c r="A105" s="2">
        <v>46025</v>
      </c>
      <c r="B105" t="s">
        <v>23</v>
      </c>
      <c r="C105" t="s">
        <v>19</v>
      </c>
      <c r="D105" t="s">
        <v>13</v>
      </c>
      <c r="E105" t="s">
        <v>36</v>
      </c>
      <c r="F105" t="s">
        <v>125</v>
      </c>
      <c r="G105">
        <v>10.008100000000001</v>
      </c>
      <c r="H105" t="str">
        <f t="shared" si="2"/>
        <v>ok</v>
      </c>
    </row>
    <row r="106" spans="1:8" x14ac:dyDescent="0.3">
      <c r="A106" s="2">
        <v>46025</v>
      </c>
      <c r="B106" t="s">
        <v>12</v>
      </c>
      <c r="C106" t="s">
        <v>19</v>
      </c>
      <c r="D106" t="s">
        <v>9</v>
      </c>
      <c r="E106" t="s">
        <v>36</v>
      </c>
      <c r="F106" t="s">
        <v>126</v>
      </c>
      <c r="G106">
        <v>9.9749999999999996</v>
      </c>
      <c r="H106" t="str">
        <f t="shared" si="2"/>
        <v>ok</v>
      </c>
    </row>
    <row r="107" spans="1:8" x14ac:dyDescent="0.3">
      <c r="A107" s="2">
        <v>46025</v>
      </c>
      <c r="B107" t="s">
        <v>7</v>
      </c>
      <c r="C107" t="s">
        <v>8</v>
      </c>
      <c r="D107" t="s">
        <v>17</v>
      </c>
      <c r="E107" t="s">
        <v>28</v>
      </c>
      <c r="F107" t="s">
        <v>127</v>
      </c>
      <c r="G107">
        <v>10.0337</v>
      </c>
      <c r="H107" t="str">
        <f t="shared" si="2"/>
        <v>ok</v>
      </c>
    </row>
    <row r="108" spans="1:8" x14ac:dyDescent="0.3">
      <c r="A108" s="2">
        <v>46025</v>
      </c>
      <c r="B108" t="s">
        <v>12</v>
      </c>
      <c r="C108" t="s">
        <v>8</v>
      </c>
      <c r="D108" t="s">
        <v>17</v>
      </c>
      <c r="E108" t="s">
        <v>10</v>
      </c>
      <c r="F108" t="s">
        <v>128</v>
      </c>
      <c r="G108">
        <v>10.0045</v>
      </c>
      <c r="H108" t="str">
        <f t="shared" si="2"/>
        <v>ok</v>
      </c>
    </row>
    <row r="109" spans="1:8" x14ac:dyDescent="0.3">
      <c r="A109" s="2">
        <v>46025</v>
      </c>
      <c r="B109" t="s">
        <v>23</v>
      </c>
      <c r="C109" t="s">
        <v>8</v>
      </c>
      <c r="D109" t="s">
        <v>34</v>
      </c>
      <c r="E109" t="s">
        <v>28</v>
      </c>
      <c r="F109" t="s">
        <v>129</v>
      </c>
      <c r="G109">
        <v>10.0061</v>
      </c>
      <c r="H109" t="str">
        <f t="shared" si="2"/>
        <v>ok</v>
      </c>
    </row>
    <row r="110" spans="1:8" x14ac:dyDescent="0.3">
      <c r="A110" s="2">
        <v>46025</v>
      </c>
      <c r="B110" t="s">
        <v>12</v>
      </c>
      <c r="C110" t="s">
        <v>8</v>
      </c>
      <c r="D110" t="s">
        <v>9</v>
      </c>
      <c r="E110" t="s">
        <v>21</v>
      </c>
      <c r="F110" t="s">
        <v>130</v>
      </c>
      <c r="G110">
        <v>10.0101</v>
      </c>
      <c r="H110" t="str">
        <f t="shared" si="2"/>
        <v>ok</v>
      </c>
    </row>
    <row r="111" spans="1:8" x14ac:dyDescent="0.3">
      <c r="A111" s="2">
        <v>46025</v>
      </c>
      <c r="B111" t="s">
        <v>7</v>
      </c>
      <c r="C111" t="s">
        <v>8</v>
      </c>
      <c r="D111" t="s">
        <v>17</v>
      </c>
      <c r="E111" t="s">
        <v>21</v>
      </c>
      <c r="F111" t="s">
        <v>131</v>
      </c>
      <c r="G111">
        <v>9.9725000000000001</v>
      </c>
      <c r="H111" t="str">
        <f t="shared" si="2"/>
        <v>ok</v>
      </c>
    </row>
    <row r="112" spans="1:8" x14ac:dyDescent="0.3">
      <c r="A112" s="2">
        <v>46025</v>
      </c>
      <c r="B112" t="s">
        <v>23</v>
      </c>
      <c r="C112" t="s">
        <v>8</v>
      </c>
      <c r="D112" t="s">
        <v>17</v>
      </c>
      <c r="E112" t="s">
        <v>28</v>
      </c>
      <c r="F112" t="s">
        <v>132</v>
      </c>
      <c r="G112">
        <v>9.9582999999999995</v>
      </c>
      <c r="H112" t="str">
        <f t="shared" si="2"/>
        <v>ok</v>
      </c>
    </row>
    <row r="113" spans="1:8" x14ac:dyDescent="0.3">
      <c r="A113" s="2">
        <v>46025</v>
      </c>
      <c r="B113" t="s">
        <v>7</v>
      </c>
      <c r="C113" t="s">
        <v>16</v>
      </c>
      <c r="D113" t="s">
        <v>13</v>
      </c>
      <c r="E113" t="s">
        <v>10</v>
      </c>
      <c r="F113" t="s">
        <v>133</v>
      </c>
      <c r="G113">
        <v>9.9894999999999996</v>
      </c>
      <c r="H113" t="str">
        <f t="shared" si="2"/>
        <v>ok</v>
      </c>
    </row>
    <row r="114" spans="1:8" x14ac:dyDescent="0.3">
      <c r="A114" s="2">
        <v>46025</v>
      </c>
      <c r="B114" t="s">
        <v>23</v>
      </c>
      <c r="C114" t="s">
        <v>19</v>
      </c>
      <c r="D114" t="s">
        <v>13</v>
      </c>
      <c r="E114" t="s">
        <v>28</v>
      </c>
      <c r="F114" t="s">
        <v>134</v>
      </c>
      <c r="G114">
        <v>9.9854000000000003</v>
      </c>
      <c r="H114" t="str">
        <f t="shared" si="2"/>
        <v>ok</v>
      </c>
    </row>
    <row r="115" spans="1:8" x14ac:dyDescent="0.3">
      <c r="A115" s="2">
        <v>46025</v>
      </c>
      <c r="B115" t="s">
        <v>7</v>
      </c>
      <c r="C115" t="s">
        <v>16</v>
      </c>
      <c r="D115" t="s">
        <v>17</v>
      </c>
      <c r="E115" t="s">
        <v>28</v>
      </c>
      <c r="F115" t="s">
        <v>135</v>
      </c>
      <c r="G115">
        <v>10.027100000000001</v>
      </c>
      <c r="H115" t="str">
        <f t="shared" si="2"/>
        <v>ok</v>
      </c>
    </row>
    <row r="116" spans="1:8" x14ac:dyDescent="0.3">
      <c r="A116" s="2">
        <v>46025</v>
      </c>
      <c r="B116" t="s">
        <v>12</v>
      </c>
      <c r="C116" t="s">
        <v>19</v>
      </c>
      <c r="D116" t="s">
        <v>34</v>
      </c>
      <c r="E116" t="s">
        <v>21</v>
      </c>
      <c r="F116" t="s">
        <v>136</v>
      </c>
      <c r="G116">
        <v>9.9679000000000002</v>
      </c>
      <c r="H116" t="str">
        <f t="shared" si="2"/>
        <v>ok</v>
      </c>
    </row>
    <row r="117" spans="1:8" x14ac:dyDescent="0.3">
      <c r="A117" s="2">
        <v>46025</v>
      </c>
      <c r="B117" t="s">
        <v>23</v>
      </c>
      <c r="C117" t="s">
        <v>19</v>
      </c>
      <c r="D117" t="s">
        <v>34</v>
      </c>
      <c r="E117" t="s">
        <v>21</v>
      </c>
      <c r="F117" t="s">
        <v>137</v>
      </c>
      <c r="G117">
        <v>9.9995999999999992</v>
      </c>
      <c r="H117" t="str">
        <f t="shared" si="2"/>
        <v>ok</v>
      </c>
    </row>
    <row r="118" spans="1:8" x14ac:dyDescent="0.3">
      <c r="A118" s="2">
        <v>46025</v>
      </c>
      <c r="B118" t="s">
        <v>12</v>
      </c>
      <c r="C118" t="s">
        <v>16</v>
      </c>
      <c r="D118" t="s">
        <v>34</v>
      </c>
      <c r="E118" t="s">
        <v>14</v>
      </c>
      <c r="F118" t="s">
        <v>138</v>
      </c>
      <c r="G118">
        <v>10.0449</v>
      </c>
      <c r="H118" t="str">
        <f t="shared" si="2"/>
        <v>ok</v>
      </c>
    </row>
    <row r="119" spans="1:8" x14ac:dyDescent="0.3">
      <c r="A119" s="2">
        <v>46025</v>
      </c>
      <c r="B119" t="s">
        <v>23</v>
      </c>
      <c r="C119" t="s">
        <v>19</v>
      </c>
      <c r="D119" t="s">
        <v>34</v>
      </c>
      <c r="E119" t="s">
        <v>21</v>
      </c>
      <c r="F119" t="s">
        <v>139</v>
      </c>
      <c r="G119">
        <v>10.0002</v>
      </c>
      <c r="H119" t="str">
        <f t="shared" si="2"/>
        <v>ok</v>
      </c>
    </row>
    <row r="120" spans="1:8" x14ac:dyDescent="0.3">
      <c r="A120" s="2">
        <v>46025</v>
      </c>
      <c r="B120" t="s">
        <v>23</v>
      </c>
      <c r="C120" t="s">
        <v>19</v>
      </c>
      <c r="D120" t="s">
        <v>13</v>
      </c>
      <c r="E120" t="s">
        <v>36</v>
      </c>
      <c r="F120" t="s">
        <v>140</v>
      </c>
      <c r="G120">
        <v>10.016299999999999</v>
      </c>
      <c r="H120" t="str">
        <f t="shared" si="2"/>
        <v>ok</v>
      </c>
    </row>
    <row r="121" spans="1:8" x14ac:dyDescent="0.3">
      <c r="A121" s="2">
        <v>46025</v>
      </c>
      <c r="B121" t="s">
        <v>12</v>
      </c>
      <c r="C121" t="s">
        <v>19</v>
      </c>
      <c r="D121" t="s">
        <v>17</v>
      </c>
      <c r="E121" t="s">
        <v>10</v>
      </c>
      <c r="F121" t="s">
        <v>141</v>
      </c>
      <c r="G121">
        <v>10.0139</v>
      </c>
      <c r="H121" t="str">
        <f t="shared" si="2"/>
        <v>ok</v>
      </c>
    </row>
    <row r="122" spans="1:8" x14ac:dyDescent="0.3">
      <c r="A122" s="2">
        <v>46025</v>
      </c>
      <c r="B122" t="s">
        <v>7</v>
      </c>
      <c r="C122" t="s">
        <v>19</v>
      </c>
      <c r="D122" t="s">
        <v>17</v>
      </c>
      <c r="E122" t="s">
        <v>28</v>
      </c>
      <c r="F122" t="s">
        <v>142</v>
      </c>
      <c r="G122">
        <v>10.0097</v>
      </c>
      <c r="H122" t="str">
        <f t="shared" si="2"/>
        <v>ok</v>
      </c>
    </row>
    <row r="123" spans="1:8" x14ac:dyDescent="0.3">
      <c r="A123" s="2">
        <v>46025</v>
      </c>
      <c r="B123" t="s">
        <v>23</v>
      </c>
      <c r="C123" t="s">
        <v>16</v>
      </c>
      <c r="D123" t="s">
        <v>13</v>
      </c>
      <c r="E123" t="s">
        <v>10</v>
      </c>
      <c r="F123" t="s">
        <v>143</v>
      </c>
      <c r="G123">
        <v>10.011799999999999</v>
      </c>
      <c r="H123" t="str">
        <f t="shared" si="2"/>
        <v>ok</v>
      </c>
    </row>
    <row r="124" spans="1:8" x14ac:dyDescent="0.3">
      <c r="A124" s="2">
        <v>46025</v>
      </c>
      <c r="B124" t="s">
        <v>12</v>
      </c>
      <c r="C124" t="s">
        <v>16</v>
      </c>
      <c r="D124" t="s">
        <v>13</v>
      </c>
      <c r="E124" t="s">
        <v>14</v>
      </c>
      <c r="F124" t="s">
        <v>144</v>
      </c>
      <c r="G124">
        <v>10.021699999999999</v>
      </c>
      <c r="H124" t="str">
        <f t="shared" si="2"/>
        <v>ok</v>
      </c>
    </row>
    <row r="125" spans="1:8" x14ac:dyDescent="0.3">
      <c r="A125" s="2">
        <v>46025</v>
      </c>
      <c r="B125" t="s">
        <v>12</v>
      </c>
      <c r="C125" t="s">
        <v>19</v>
      </c>
      <c r="D125" t="s">
        <v>34</v>
      </c>
      <c r="E125" t="s">
        <v>28</v>
      </c>
      <c r="F125" t="s">
        <v>145</v>
      </c>
      <c r="G125">
        <v>10.0169</v>
      </c>
      <c r="H125" t="str">
        <f t="shared" si="2"/>
        <v>ok</v>
      </c>
    </row>
    <row r="126" spans="1:8" x14ac:dyDescent="0.3">
      <c r="A126" s="2">
        <v>46025</v>
      </c>
      <c r="B126" t="s">
        <v>12</v>
      </c>
      <c r="C126" t="s">
        <v>19</v>
      </c>
      <c r="D126" t="s">
        <v>34</v>
      </c>
      <c r="E126" t="s">
        <v>21</v>
      </c>
      <c r="F126" t="s">
        <v>146</v>
      </c>
      <c r="G126">
        <v>9.9963999999999995</v>
      </c>
      <c r="H126" t="str">
        <f t="shared" si="2"/>
        <v>ok</v>
      </c>
    </row>
    <row r="127" spans="1:8" x14ac:dyDescent="0.3">
      <c r="A127" s="2">
        <v>46025</v>
      </c>
      <c r="B127" t="s">
        <v>23</v>
      </c>
      <c r="C127" t="s">
        <v>16</v>
      </c>
      <c r="D127" t="s">
        <v>34</v>
      </c>
      <c r="E127" t="s">
        <v>10</v>
      </c>
      <c r="F127" t="s">
        <v>147</v>
      </c>
      <c r="G127">
        <v>10.0022</v>
      </c>
      <c r="H127" t="str">
        <f t="shared" si="2"/>
        <v>ok</v>
      </c>
    </row>
    <row r="128" spans="1:8" x14ac:dyDescent="0.3">
      <c r="A128" s="2">
        <v>46025</v>
      </c>
      <c r="B128" t="s">
        <v>12</v>
      </c>
      <c r="C128" t="s">
        <v>16</v>
      </c>
      <c r="D128" t="s">
        <v>17</v>
      </c>
      <c r="E128" t="s">
        <v>28</v>
      </c>
      <c r="F128" t="s">
        <v>148</v>
      </c>
      <c r="G128">
        <v>10.0322</v>
      </c>
      <c r="H128" t="str">
        <f t="shared" si="2"/>
        <v>ok</v>
      </c>
    </row>
    <row r="129" spans="1:8" x14ac:dyDescent="0.3">
      <c r="A129" s="2">
        <v>46025</v>
      </c>
      <c r="B129" t="s">
        <v>23</v>
      </c>
      <c r="C129" t="s">
        <v>19</v>
      </c>
      <c r="D129" t="s">
        <v>17</v>
      </c>
      <c r="E129" t="s">
        <v>21</v>
      </c>
      <c r="F129" t="s">
        <v>149</v>
      </c>
      <c r="G129">
        <v>10.035299999999999</v>
      </c>
      <c r="H129" t="str">
        <f t="shared" si="2"/>
        <v>ok</v>
      </c>
    </row>
    <row r="130" spans="1:8" x14ac:dyDescent="0.3">
      <c r="A130" s="2">
        <v>46025</v>
      </c>
      <c r="B130" t="s">
        <v>23</v>
      </c>
      <c r="C130" t="s">
        <v>16</v>
      </c>
      <c r="D130" t="s">
        <v>9</v>
      </c>
      <c r="E130" t="s">
        <v>14</v>
      </c>
      <c r="F130" t="s">
        <v>150</v>
      </c>
      <c r="G130">
        <v>9.9839000000000002</v>
      </c>
      <c r="H130" t="str">
        <f t="shared" si="2"/>
        <v>ok</v>
      </c>
    </row>
    <row r="131" spans="1:8" x14ac:dyDescent="0.3">
      <c r="A131" s="2">
        <v>46025</v>
      </c>
      <c r="B131" t="s">
        <v>7</v>
      </c>
      <c r="C131" t="s">
        <v>8</v>
      </c>
      <c r="D131" t="s">
        <v>17</v>
      </c>
      <c r="E131" t="s">
        <v>10</v>
      </c>
      <c r="F131" t="s">
        <v>151</v>
      </c>
      <c r="G131">
        <v>9.9876000000000005</v>
      </c>
      <c r="H131" t="str">
        <f t="shared" si="2"/>
        <v>ok</v>
      </c>
    </row>
    <row r="132" spans="1:8" x14ac:dyDescent="0.3">
      <c r="A132" s="2">
        <v>46025</v>
      </c>
      <c r="B132" t="s">
        <v>12</v>
      </c>
      <c r="C132" t="s">
        <v>19</v>
      </c>
      <c r="D132" t="s">
        <v>9</v>
      </c>
      <c r="E132" t="s">
        <v>36</v>
      </c>
      <c r="F132" t="s">
        <v>152</v>
      </c>
      <c r="G132">
        <v>10.024900000000001</v>
      </c>
      <c r="H132" t="str">
        <f t="shared" si="2"/>
        <v>ok</v>
      </c>
    </row>
    <row r="133" spans="1:8" x14ac:dyDescent="0.3">
      <c r="A133" s="2">
        <v>46025</v>
      </c>
      <c r="B133" t="s">
        <v>12</v>
      </c>
      <c r="C133" t="s">
        <v>8</v>
      </c>
      <c r="D133" t="s">
        <v>34</v>
      </c>
      <c r="E133" t="s">
        <v>10</v>
      </c>
      <c r="F133" t="s">
        <v>153</v>
      </c>
      <c r="G133">
        <v>9.9783000000000008</v>
      </c>
      <c r="H133" t="str">
        <f t="shared" si="2"/>
        <v>ok</v>
      </c>
    </row>
    <row r="134" spans="1:8" x14ac:dyDescent="0.3">
      <c r="A134" s="2">
        <v>46025</v>
      </c>
      <c r="B134" t="s">
        <v>12</v>
      </c>
      <c r="C134" t="s">
        <v>16</v>
      </c>
      <c r="D134" t="s">
        <v>9</v>
      </c>
      <c r="E134" t="s">
        <v>14</v>
      </c>
      <c r="F134" t="s">
        <v>154</v>
      </c>
      <c r="G134">
        <v>10.0115</v>
      </c>
      <c r="H134" t="str">
        <f t="shared" ref="H134:H197" si="3">IF(OR(G134&gt;10.5,G134&lt;9.95),"Defect","ok")</f>
        <v>ok</v>
      </c>
    </row>
    <row r="135" spans="1:8" x14ac:dyDescent="0.3">
      <c r="A135" s="2">
        <v>46025</v>
      </c>
      <c r="B135" t="s">
        <v>23</v>
      </c>
      <c r="C135" t="s">
        <v>8</v>
      </c>
      <c r="D135" t="s">
        <v>17</v>
      </c>
      <c r="E135" t="s">
        <v>21</v>
      </c>
      <c r="F135" t="s">
        <v>155</v>
      </c>
      <c r="G135">
        <v>9.9605999999999995</v>
      </c>
      <c r="H135" t="str">
        <f t="shared" si="3"/>
        <v>ok</v>
      </c>
    </row>
    <row r="136" spans="1:8" x14ac:dyDescent="0.3">
      <c r="A136" s="2">
        <v>46025</v>
      </c>
      <c r="B136" t="s">
        <v>23</v>
      </c>
      <c r="C136" t="s">
        <v>8</v>
      </c>
      <c r="D136" t="s">
        <v>9</v>
      </c>
      <c r="E136" t="s">
        <v>10</v>
      </c>
      <c r="F136" t="s">
        <v>156</v>
      </c>
      <c r="G136">
        <v>9.9724000000000004</v>
      </c>
      <c r="H136" t="str">
        <f t="shared" si="3"/>
        <v>ok</v>
      </c>
    </row>
    <row r="137" spans="1:8" x14ac:dyDescent="0.3">
      <c r="A137" s="2">
        <v>46025</v>
      </c>
      <c r="B137" t="s">
        <v>23</v>
      </c>
      <c r="C137" t="s">
        <v>16</v>
      </c>
      <c r="D137" t="s">
        <v>13</v>
      </c>
      <c r="E137" t="s">
        <v>36</v>
      </c>
      <c r="F137" t="s">
        <v>157</v>
      </c>
      <c r="G137">
        <v>9.9832000000000001</v>
      </c>
      <c r="H137" t="str">
        <f t="shared" si="3"/>
        <v>ok</v>
      </c>
    </row>
    <row r="138" spans="1:8" x14ac:dyDescent="0.3">
      <c r="A138" s="2">
        <v>46025</v>
      </c>
      <c r="B138" t="s">
        <v>7</v>
      </c>
      <c r="C138" t="s">
        <v>19</v>
      </c>
      <c r="D138" t="s">
        <v>9</v>
      </c>
      <c r="E138" t="s">
        <v>28</v>
      </c>
      <c r="F138" t="s">
        <v>158</v>
      </c>
      <c r="G138">
        <v>9.9906000000000006</v>
      </c>
      <c r="H138" t="str">
        <f t="shared" si="3"/>
        <v>ok</v>
      </c>
    </row>
    <row r="139" spans="1:8" x14ac:dyDescent="0.3">
      <c r="A139" s="2">
        <v>46025</v>
      </c>
      <c r="B139" t="s">
        <v>23</v>
      </c>
      <c r="C139" t="s">
        <v>8</v>
      </c>
      <c r="D139" t="s">
        <v>17</v>
      </c>
      <c r="E139" t="s">
        <v>10</v>
      </c>
      <c r="F139" t="s">
        <v>159</v>
      </c>
      <c r="G139">
        <v>9.9997000000000007</v>
      </c>
      <c r="H139" t="str">
        <f t="shared" si="3"/>
        <v>ok</v>
      </c>
    </row>
    <row r="140" spans="1:8" x14ac:dyDescent="0.3">
      <c r="A140" s="2">
        <v>46025</v>
      </c>
      <c r="B140" t="s">
        <v>12</v>
      </c>
      <c r="C140" t="s">
        <v>8</v>
      </c>
      <c r="D140" t="s">
        <v>13</v>
      </c>
      <c r="E140" t="s">
        <v>14</v>
      </c>
      <c r="F140" t="s">
        <v>160</v>
      </c>
      <c r="G140">
        <v>10.032500000000001</v>
      </c>
      <c r="H140" t="str">
        <f t="shared" si="3"/>
        <v>ok</v>
      </c>
    </row>
    <row r="141" spans="1:8" x14ac:dyDescent="0.3">
      <c r="A141" s="2">
        <v>46025</v>
      </c>
      <c r="B141" t="s">
        <v>23</v>
      </c>
      <c r="C141" t="s">
        <v>19</v>
      </c>
      <c r="D141" t="s">
        <v>17</v>
      </c>
      <c r="E141" t="s">
        <v>28</v>
      </c>
      <c r="F141" t="s">
        <v>161</v>
      </c>
      <c r="G141">
        <v>9.9960000000000004</v>
      </c>
      <c r="H141" t="str">
        <f t="shared" si="3"/>
        <v>ok</v>
      </c>
    </row>
    <row r="142" spans="1:8" x14ac:dyDescent="0.3">
      <c r="A142" s="2">
        <v>46025</v>
      </c>
      <c r="B142" t="s">
        <v>7</v>
      </c>
      <c r="C142" t="s">
        <v>16</v>
      </c>
      <c r="D142" t="s">
        <v>13</v>
      </c>
      <c r="E142" t="s">
        <v>28</v>
      </c>
      <c r="F142" t="s">
        <v>162</v>
      </c>
      <c r="G142">
        <v>9.9865999999999993</v>
      </c>
      <c r="H142" t="str">
        <f t="shared" si="3"/>
        <v>ok</v>
      </c>
    </row>
    <row r="143" spans="1:8" x14ac:dyDescent="0.3">
      <c r="A143" s="2">
        <v>46025</v>
      </c>
      <c r="B143" t="s">
        <v>7</v>
      </c>
      <c r="C143" t="s">
        <v>19</v>
      </c>
      <c r="D143" t="s">
        <v>13</v>
      </c>
      <c r="E143" t="s">
        <v>10</v>
      </c>
      <c r="F143" t="s">
        <v>163</v>
      </c>
      <c r="G143">
        <v>9.9723000000000006</v>
      </c>
      <c r="H143" t="str">
        <f t="shared" si="3"/>
        <v>ok</v>
      </c>
    </row>
    <row r="144" spans="1:8" x14ac:dyDescent="0.3">
      <c r="A144" s="2">
        <v>46025</v>
      </c>
      <c r="B144" t="s">
        <v>12</v>
      </c>
      <c r="C144" t="s">
        <v>19</v>
      </c>
      <c r="D144" t="s">
        <v>17</v>
      </c>
      <c r="E144" t="s">
        <v>36</v>
      </c>
      <c r="F144" t="s">
        <v>164</v>
      </c>
      <c r="G144">
        <v>9.9984999999999999</v>
      </c>
      <c r="H144" t="str">
        <f t="shared" si="3"/>
        <v>ok</v>
      </c>
    </row>
    <row r="145" spans="1:8" x14ac:dyDescent="0.3">
      <c r="A145" s="2">
        <v>46025</v>
      </c>
      <c r="B145" t="s">
        <v>12</v>
      </c>
      <c r="C145" t="s">
        <v>19</v>
      </c>
      <c r="D145" t="s">
        <v>9</v>
      </c>
      <c r="E145" t="s">
        <v>21</v>
      </c>
      <c r="F145" t="s">
        <v>165</v>
      </c>
      <c r="G145">
        <v>10.006500000000001</v>
      </c>
      <c r="H145" t="str">
        <f t="shared" si="3"/>
        <v>ok</v>
      </c>
    </row>
    <row r="146" spans="1:8" x14ac:dyDescent="0.3">
      <c r="A146" s="2">
        <v>46025</v>
      </c>
      <c r="B146" t="s">
        <v>7</v>
      </c>
      <c r="C146" t="s">
        <v>19</v>
      </c>
      <c r="D146" t="s">
        <v>34</v>
      </c>
      <c r="E146" t="s">
        <v>10</v>
      </c>
      <c r="F146" t="s">
        <v>166</v>
      </c>
      <c r="G146">
        <v>10.0129</v>
      </c>
      <c r="H146" t="str">
        <f t="shared" si="3"/>
        <v>ok</v>
      </c>
    </row>
    <row r="147" spans="1:8" x14ac:dyDescent="0.3">
      <c r="A147" s="2">
        <v>46025</v>
      </c>
      <c r="B147" t="s">
        <v>7</v>
      </c>
      <c r="C147" t="s">
        <v>8</v>
      </c>
      <c r="D147" t="s">
        <v>9</v>
      </c>
      <c r="E147" t="s">
        <v>36</v>
      </c>
      <c r="F147" t="s">
        <v>167</v>
      </c>
      <c r="G147">
        <v>10.0036</v>
      </c>
      <c r="H147" t="str">
        <f t="shared" si="3"/>
        <v>ok</v>
      </c>
    </row>
    <row r="148" spans="1:8" x14ac:dyDescent="0.3">
      <c r="A148" s="2">
        <v>46025</v>
      </c>
      <c r="B148" t="s">
        <v>12</v>
      </c>
      <c r="C148" t="s">
        <v>19</v>
      </c>
      <c r="D148" t="s">
        <v>34</v>
      </c>
      <c r="E148" t="s">
        <v>10</v>
      </c>
      <c r="F148" t="s">
        <v>168</v>
      </c>
      <c r="G148">
        <v>10.0197</v>
      </c>
      <c r="H148" t="str">
        <f t="shared" si="3"/>
        <v>ok</v>
      </c>
    </row>
    <row r="149" spans="1:8" x14ac:dyDescent="0.3">
      <c r="A149" s="2">
        <v>46025</v>
      </c>
      <c r="B149" t="s">
        <v>7</v>
      </c>
      <c r="C149" t="s">
        <v>16</v>
      </c>
      <c r="D149" t="s">
        <v>13</v>
      </c>
      <c r="E149" t="s">
        <v>21</v>
      </c>
      <c r="F149" t="s">
        <v>169</v>
      </c>
      <c r="G149">
        <v>9.9893999999999998</v>
      </c>
      <c r="H149" t="str">
        <f t="shared" si="3"/>
        <v>ok</v>
      </c>
    </row>
    <row r="150" spans="1:8" x14ac:dyDescent="0.3">
      <c r="A150" s="2">
        <v>46025</v>
      </c>
      <c r="B150" t="s">
        <v>7</v>
      </c>
      <c r="C150" t="s">
        <v>8</v>
      </c>
      <c r="D150" t="s">
        <v>17</v>
      </c>
      <c r="E150" t="s">
        <v>21</v>
      </c>
      <c r="F150" t="s">
        <v>170</v>
      </c>
      <c r="G150">
        <v>10.036300000000001</v>
      </c>
      <c r="H150" t="str">
        <f t="shared" si="3"/>
        <v>ok</v>
      </c>
    </row>
    <row r="151" spans="1:8" x14ac:dyDescent="0.3">
      <c r="A151" s="2">
        <v>46025</v>
      </c>
      <c r="B151" t="s">
        <v>12</v>
      </c>
      <c r="C151" t="s">
        <v>19</v>
      </c>
      <c r="D151" t="s">
        <v>13</v>
      </c>
      <c r="E151" t="s">
        <v>28</v>
      </c>
      <c r="F151" t="s">
        <v>171</v>
      </c>
      <c r="G151">
        <v>10.0098</v>
      </c>
      <c r="H151" t="str">
        <f t="shared" si="3"/>
        <v>ok</v>
      </c>
    </row>
    <row r="152" spans="1:8" x14ac:dyDescent="0.3">
      <c r="A152" s="2">
        <v>46026</v>
      </c>
      <c r="B152" t="s">
        <v>23</v>
      </c>
      <c r="C152" t="s">
        <v>19</v>
      </c>
      <c r="D152" t="s">
        <v>13</v>
      </c>
      <c r="E152" t="s">
        <v>28</v>
      </c>
      <c r="F152" t="s">
        <v>172</v>
      </c>
      <c r="G152">
        <v>10.003</v>
      </c>
      <c r="H152" t="str">
        <f t="shared" si="3"/>
        <v>ok</v>
      </c>
    </row>
    <row r="153" spans="1:8" x14ac:dyDescent="0.3">
      <c r="A153" s="2">
        <v>46026</v>
      </c>
      <c r="B153" t="s">
        <v>23</v>
      </c>
      <c r="C153" t="s">
        <v>19</v>
      </c>
      <c r="D153" t="s">
        <v>9</v>
      </c>
      <c r="E153" t="s">
        <v>36</v>
      </c>
      <c r="F153" t="s">
        <v>173</v>
      </c>
      <c r="G153">
        <v>9.9940999999999995</v>
      </c>
      <c r="H153" t="str">
        <f t="shared" si="3"/>
        <v>ok</v>
      </c>
    </row>
    <row r="154" spans="1:8" x14ac:dyDescent="0.3">
      <c r="A154" s="2">
        <v>46026</v>
      </c>
      <c r="B154" t="s">
        <v>7</v>
      </c>
      <c r="C154" t="s">
        <v>16</v>
      </c>
      <c r="D154" t="s">
        <v>13</v>
      </c>
      <c r="E154" t="s">
        <v>21</v>
      </c>
      <c r="F154" t="s">
        <v>174</v>
      </c>
      <c r="G154">
        <v>10.016299999999999</v>
      </c>
      <c r="H154" t="str">
        <f t="shared" si="3"/>
        <v>ok</v>
      </c>
    </row>
    <row r="155" spans="1:8" x14ac:dyDescent="0.3">
      <c r="A155" s="2">
        <v>46026</v>
      </c>
      <c r="B155" t="s">
        <v>7</v>
      </c>
      <c r="C155" t="s">
        <v>16</v>
      </c>
      <c r="D155" t="s">
        <v>13</v>
      </c>
      <c r="E155" t="s">
        <v>36</v>
      </c>
      <c r="F155" t="s">
        <v>175</v>
      </c>
      <c r="G155">
        <v>10.021800000000001</v>
      </c>
      <c r="H155" t="str">
        <f t="shared" si="3"/>
        <v>ok</v>
      </c>
    </row>
    <row r="156" spans="1:8" x14ac:dyDescent="0.3">
      <c r="A156" s="2">
        <v>46026</v>
      </c>
      <c r="B156" t="s">
        <v>12</v>
      </c>
      <c r="C156" t="s">
        <v>16</v>
      </c>
      <c r="D156" t="s">
        <v>9</v>
      </c>
      <c r="E156" t="s">
        <v>36</v>
      </c>
      <c r="F156" t="s">
        <v>176</v>
      </c>
      <c r="G156">
        <v>9.9785000000000004</v>
      </c>
      <c r="H156" t="str">
        <f t="shared" si="3"/>
        <v>ok</v>
      </c>
    </row>
    <row r="157" spans="1:8" x14ac:dyDescent="0.3">
      <c r="A157" s="2">
        <v>46026</v>
      </c>
      <c r="B157" t="s">
        <v>23</v>
      </c>
      <c r="C157" t="s">
        <v>19</v>
      </c>
      <c r="D157" t="s">
        <v>17</v>
      </c>
      <c r="E157" t="s">
        <v>10</v>
      </c>
      <c r="F157" t="s">
        <v>177</v>
      </c>
      <c r="G157">
        <v>9.9894999999999996</v>
      </c>
      <c r="H157" t="str">
        <f t="shared" si="3"/>
        <v>ok</v>
      </c>
    </row>
    <row r="158" spans="1:8" x14ac:dyDescent="0.3">
      <c r="A158" s="2">
        <v>46026</v>
      </c>
      <c r="B158" t="s">
        <v>12</v>
      </c>
      <c r="C158" t="s">
        <v>16</v>
      </c>
      <c r="D158" t="s">
        <v>34</v>
      </c>
      <c r="E158" t="s">
        <v>36</v>
      </c>
      <c r="F158" t="s">
        <v>178</v>
      </c>
      <c r="G158">
        <v>9.9829000000000008</v>
      </c>
      <c r="H158" t="str">
        <f t="shared" si="3"/>
        <v>ok</v>
      </c>
    </row>
    <row r="159" spans="1:8" x14ac:dyDescent="0.3">
      <c r="A159" s="2">
        <v>46026</v>
      </c>
      <c r="B159" t="s">
        <v>7</v>
      </c>
      <c r="C159" t="s">
        <v>16</v>
      </c>
      <c r="D159" t="s">
        <v>13</v>
      </c>
      <c r="E159" t="s">
        <v>21</v>
      </c>
      <c r="F159" t="s">
        <v>179</v>
      </c>
      <c r="G159">
        <v>9.9740000000000002</v>
      </c>
      <c r="H159" t="str">
        <f t="shared" si="3"/>
        <v>ok</v>
      </c>
    </row>
    <row r="160" spans="1:8" x14ac:dyDescent="0.3">
      <c r="A160" s="2">
        <v>46026</v>
      </c>
      <c r="B160" t="s">
        <v>7</v>
      </c>
      <c r="C160" t="s">
        <v>16</v>
      </c>
      <c r="D160" t="s">
        <v>34</v>
      </c>
      <c r="E160" t="s">
        <v>14</v>
      </c>
      <c r="F160" t="s">
        <v>180</v>
      </c>
      <c r="G160">
        <v>9.9969000000000001</v>
      </c>
      <c r="H160" t="str">
        <f t="shared" si="3"/>
        <v>ok</v>
      </c>
    </row>
    <row r="161" spans="1:8" x14ac:dyDescent="0.3">
      <c r="A161" s="2">
        <v>46026</v>
      </c>
      <c r="B161" t="s">
        <v>12</v>
      </c>
      <c r="C161" t="s">
        <v>16</v>
      </c>
      <c r="D161" t="s">
        <v>9</v>
      </c>
      <c r="E161" t="s">
        <v>10</v>
      </c>
      <c r="F161" t="s">
        <v>181</v>
      </c>
      <c r="G161">
        <v>9.9937000000000005</v>
      </c>
      <c r="H161" t="str">
        <f t="shared" si="3"/>
        <v>ok</v>
      </c>
    </row>
    <row r="162" spans="1:8" x14ac:dyDescent="0.3">
      <c r="A162" s="2">
        <v>46026</v>
      </c>
      <c r="B162" t="s">
        <v>12</v>
      </c>
      <c r="C162" t="s">
        <v>8</v>
      </c>
      <c r="D162" t="s">
        <v>34</v>
      </c>
      <c r="E162" t="s">
        <v>36</v>
      </c>
      <c r="F162" t="s">
        <v>182</v>
      </c>
      <c r="G162">
        <v>10.0267</v>
      </c>
      <c r="H162" t="str">
        <f t="shared" si="3"/>
        <v>ok</v>
      </c>
    </row>
    <row r="163" spans="1:8" x14ac:dyDescent="0.3">
      <c r="A163" s="2">
        <v>46026</v>
      </c>
      <c r="B163" t="s">
        <v>23</v>
      </c>
      <c r="C163" t="s">
        <v>8</v>
      </c>
      <c r="D163" t="s">
        <v>34</v>
      </c>
      <c r="E163" t="s">
        <v>10</v>
      </c>
      <c r="F163" t="s">
        <v>183</v>
      </c>
      <c r="G163">
        <v>10.0106</v>
      </c>
      <c r="H163" t="str">
        <f t="shared" si="3"/>
        <v>ok</v>
      </c>
    </row>
    <row r="164" spans="1:8" x14ac:dyDescent="0.3">
      <c r="A164" s="2">
        <v>46026</v>
      </c>
      <c r="B164" t="s">
        <v>23</v>
      </c>
      <c r="C164" t="s">
        <v>19</v>
      </c>
      <c r="D164" t="s">
        <v>17</v>
      </c>
      <c r="E164" t="s">
        <v>10</v>
      </c>
      <c r="F164" t="s">
        <v>184</v>
      </c>
      <c r="G164">
        <v>10.022500000000001</v>
      </c>
      <c r="H164" t="str">
        <f t="shared" si="3"/>
        <v>ok</v>
      </c>
    </row>
    <row r="165" spans="1:8" x14ac:dyDescent="0.3">
      <c r="A165" s="2">
        <v>46026</v>
      </c>
      <c r="B165" t="s">
        <v>12</v>
      </c>
      <c r="C165" t="s">
        <v>19</v>
      </c>
      <c r="D165" t="s">
        <v>13</v>
      </c>
      <c r="E165" t="s">
        <v>21</v>
      </c>
      <c r="F165" t="s">
        <v>185</v>
      </c>
      <c r="G165">
        <v>9.9555000000000007</v>
      </c>
      <c r="H165" t="str">
        <f t="shared" si="3"/>
        <v>ok</v>
      </c>
    </row>
    <row r="166" spans="1:8" x14ac:dyDescent="0.3">
      <c r="A166" s="2">
        <v>46026</v>
      </c>
      <c r="B166" t="s">
        <v>12</v>
      </c>
      <c r="C166" t="s">
        <v>16</v>
      </c>
      <c r="D166" t="s">
        <v>13</v>
      </c>
      <c r="E166" t="s">
        <v>28</v>
      </c>
      <c r="F166" t="s">
        <v>186</v>
      </c>
      <c r="G166">
        <v>10.019299999999999</v>
      </c>
      <c r="H166" t="str">
        <f t="shared" si="3"/>
        <v>ok</v>
      </c>
    </row>
    <row r="167" spans="1:8" x14ac:dyDescent="0.3">
      <c r="A167" s="2">
        <v>46026</v>
      </c>
      <c r="B167" t="s">
        <v>7</v>
      </c>
      <c r="C167" t="s">
        <v>16</v>
      </c>
      <c r="D167" t="s">
        <v>17</v>
      </c>
      <c r="E167" t="s">
        <v>14</v>
      </c>
      <c r="F167" t="s">
        <v>187</v>
      </c>
      <c r="G167">
        <v>9.9824999999999999</v>
      </c>
      <c r="H167" t="str">
        <f t="shared" si="3"/>
        <v>ok</v>
      </c>
    </row>
    <row r="168" spans="1:8" x14ac:dyDescent="0.3">
      <c r="A168" s="2">
        <v>46026</v>
      </c>
      <c r="B168" t="s">
        <v>23</v>
      </c>
      <c r="C168" t="s">
        <v>16</v>
      </c>
      <c r="D168" t="s">
        <v>17</v>
      </c>
      <c r="E168" t="s">
        <v>28</v>
      </c>
      <c r="F168" t="s">
        <v>188</v>
      </c>
      <c r="G168">
        <v>9.9528999999999996</v>
      </c>
      <c r="H168" t="str">
        <f t="shared" si="3"/>
        <v>ok</v>
      </c>
    </row>
    <row r="169" spans="1:8" x14ac:dyDescent="0.3">
      <c r="A169" s="2">
        <v>46026</v>
      </c>
      <c r="B169" t="s">
        <v>23</v>
      </c>
      <c r="C169" t="s">
        <v>19</v>
      </c>
      <c r="D169" t="s">
        <v>34</v>
      </c>
      <c r="E169" t="s">
        <v>14</v>
      </c>
      <c r="F169" t="s">
        <v>189</v>
      </c>
      <c r="G169">
        <v>10.0228</v>
      </c>
      <c r="H169" t="str">
        <f t="shared" si="3"/>
        <v>ok</v>
      </c>
    </row>
    <row r="170" spans="1:8" x14ac:dyDescent="0.3">
      <c r="A170" s="2">
        <v>46026</v>
      </c>
      <c r="B170" t="s">
        <v>23</v>
      </c>
      <c r="C170" t="s">
        <v>19</v>
      </c>
      <c r="D170" t="s">
        <v>13</v>
      </c>
      <c r="E170" t="s">
        <v>36</v>
      </c>
      <c r="F170" t="s">
        <v>190</v>
      </c>
      <c r="G170">
        <v>9.9695999999999998</v>
      </c>
      <c r="H170" t="str">
        <f t="shared" si="3"/>
        <v>ok</v>
      </c>
    </row>
    <row r="171" spans="1:8" x14ac:dyDescent="0.3">
      <c r="A171" s="2">
        <v>46026</v>
      </c>
      <c r="B171" t="s">
        <v>23</v>
      </c>
      <c r="C171" t="s">
        <v>8</v>
      </c>
      <c r="D171" t="s">
        <v>13</v>
      </c>
      <c r="E171" t="s">
        <v>36</v>
      </c>
      <c r="F171" t="s">
        <v>191</v>
      </c>
      <c r="G171">
        <v>9.9949999999999992</v>
      </c>
      <c r="H171" t="str">
        <f t="shared" si="3"/>
        <v>ok</v>
      </c>
    </row>
    <row r="172" spans="1:8" x14ac:dyDescent="0.3">
      <c r="A172" s="2">
        <v>46026</v>
      </c>
      <c r="B172" t="s">
        <v>23</v>
      </c>
      <c r="C172" t="s">
        <v>19</v>
      </c>
      <c r="D172" t="s">
        <v>34</v>
      </c>
      <c r="E172" t="s">
        <v>14</v>
      </c>
      <c r="F172" t="s">
        <v>192</v>
      </c>
      <c r="G172">
        <v>10.020099999999999</v>
      </c>
      <c r="H172" t="str">
        <f t="shared" si="3"/>
        <v>ok</v>
      </c>
    </row>
    <row r="173" spans="1:8" x14ac:dyDescent="0.3">
      <c r="A173" s="2">
        <v>46026</v>
      </c>
      <c r="B173" t="s">
        <v>12</v>
      </c>
      <c r="C173" t="s">
        <v>16</v>
      </c>
      <c r="D173" t="s">
        <v>17</v>
      </c>
      <c r="E173" t="s">
        <v>21</v>
      </c>
      <c r="F173" t="s">
        <v>193</v>
      </c>
      <c r="G173">
        <v>10.004300000000001</v>
      </c>
      <c r="H173" t="str">
        <f t="shared" si="3"/>
        <v>ok</v>
      </c>
    </row>
    <row r="174" spans="1:8" x14ac:dyDescent="0.3">
      <c r="A174" s="2">
        <v>46026</v>
      </c>
      <c r="B174" t="s">
        <v>7</v>
      </c>
      <c r="C174" t="s">
        <v>8</v>
      </c>
      <c r="D174" t="s">
        <v>9</v>
      </c>
      <c r="E174" t="s">
        <v>21</v>
      </c>
      <c r="F174" t="s">
        <v>194</v>
      </c>
      <c r="G174">
        <v>9.9671000000000003</v>
      </c>
      <c r="H174" t="str">
        <f t="shared" si="3"/>
        <v>ok</v>
      </c>
    </row>
    <row r="175" spans="1:8" x14ac:dyDescent="0.3">
      <c r="A175" s="2">
        <v>46026</v>
      </c>
      <c r="B175" t="s">
        <v>12</v>
      </c>
      <c r="C175" t="s">
        <v>8</v>
      </c>
      <c r="D175" t="s">
        <v>13</v>
      </c>
      <c r="E175" t="s">
        <v>14</v>
      </c>
      <c r="F175" t="s">
        <v>195</v>
      </c>
      <c r="G175">
        <v>10.039400000000001</v>
      </c>
      <c r="H175" t="str">
        <f t="shared" si="3"/>
        <v>ok</v>
      </c>
    </row>
    <row r="176" spans="1:8" x14ac:dyDescent="0.3">
      <c r="A176" s="2">
        <v>46026</v>
      </c>
      <c r="B176" t="s">
        <v>12</v>
      </c>
      <c r="C176" t="s">
        <v>16</v>
      </c>
      <c r="D176" t="s">
        <v>17</v>
      </c>
      <c r="E176" t="s">
        <v>28</v>
      </c>
      <c r="F176" t="s">
        <v>196</v>
      </c>
      <c r="G176">
        <v>10.0345</v>
      </c>
      <c r="H176" t="str">
        <f t="shared" si="3"/>
        <v>ok</v>
      </c>
    </row>
    <row r="177" spans="1:8" x14ac:dyDescent="0.3">
      <c r="A177" s="2">
        <v>46026</v>
      </c>
      <c r="B177" t="s">
        <v>7</v>
      </c>
      <c r="C177" t="s">
        <v>8</v>
      </c>
      <c r="D177" t="s">
        <v>13</v>
      </c>
      <c r="E177" t="s">
        <v>21</v>
      </c>
      <c r="F177" t="s">
        <v>197</v>
      </c>
      <c r="G177">
        <v>9.9741</v>
      </c>
      <c r="H177" t="str">
        <f t="shared" si="3"/>
        <v>ok</v>
      </c>
    </row>
    <row r="178" spans="1:8" x14ac:dyDescent="0.3">
      <c r="A178" s="2">
        <v>46026</v>
      </c>
      <c r="B178" t="s">
        <v>7</v>
      </c>
      <c r="C178" t="s">
        <v>19</v>
      </c>
      <c r="D178" t="s">
        <v>9</v>
      </c>
      <c r="E178" t="s">
        <v>36</v>
      </c>
      <c r="F178" t="s">
        <v>198</v>
      </c>
      <c r="G178">
        <v>9.9941999999999993</v>
      </c>
      <c r="H178" t="str">
        <f t="shared" si="3"/>
        <v>ok</v>
      </c>
    </row>
    <row r="179" spans="1:8" x14ac:dyDescent="0.3">
      <c r="A179" s="2">
        <v>46026</v>
      </c>
      <c r="B179" t="s">
        <v>12</v>
      </c>
      <c r="C179" t="s">
        <v>8</v>
      </c>
      <c r="D179" t="s">
        <v>13</v>
      </c>
      <c r="E179" t="s">
        <v>21</v>
      </c>
      <c r="F179" t="s">
        <v>199</v>
      </c>
      <c r="G179">
        <v>10.0435</v>
      </c>
      <c r="H179" t="str">
        <f t="shared" si="3"/>
        <v>ok</v>
      </c>
    </row>
    <row r="180" spans="1:8" x14ac:dyDescent="0.3">
      <c r="A180" s="2">
        <v>46026</v>
      </c>
      <c r="B180" t="s">
        <v>23</v>
      </c>
      <c r="C180" t="s">
        <v>16</v>
      </c>
      <c r="D180" t="s">
        <v>34</v>
      </c>
      <c r="E180" t="s">
        <v>28</v>
      </c>
      <c r="F180" t="s">
        <v>200</v>
      </c>
      <c r="G180">
        <v>9.9795999999999996</v>
      </c>
      <c r="H180" t="str">
        <f t="shared" si="3"/>
        <v>ok</v>
      </c>
    </row>
    <row r="181" spans="1:8" x14ac:dyDescent="0.3">
      <c r="A181" s="2">
        <v>46026</v>
      </c>
      <c r="B181" t="s">
        <v>23</v>
      </c>
      <c r="C181" t="s">
        <v>8</v>
      </c>
      <c r="D181" t="s">
        <v>34</v>
      </c>
      <c r="E181" t="s">
        <v>21</v>
      </c>
      <c r="F181" t="s">
        <v>201</v>
      </c>
      <c r="G181">
        <v>10.011200000000001</v>
      </c>
      <c r="H181" t="str">
        <f t="shared" si="3"/>
        <v>ok</v>
      </c>
    </row>
    <row r="182" spans="1:8" x14ac:dyDescent="0.3">
      <c r="A182" s="2">
        <v>46026</v>
      </c>
      <c r="B182" t="s">
        <v>12</v>
      </c>
      <c r="C182" t="s">
        <v>8</v>
      </c>
      <c r="D182" t="s">
        <v>17</v>
      </c>
      <c r="E182" t="s">
        <v>21</v>
      </c>
      <c r="F182" t="s">
        <v>202</v>
      </c>
      <c r="G182">
        <v>10.031700000000001</v>
      </c>
      <c r="H182" t="str">
        <f t="shared" si="3"/>
        <v>ok</v>
      </c>
    </row>
    <row r="183" spans="1:8" x14ac:dyDescent="0.3">
      <c r="A183" s="2">
        <v>46026</v>
      </c>
      <c r="B183" t="s">
        <v>7</v>
      </c>
      <c r="C183" t="s">
        <v>19</v>
      </c>
      <c r="D183" t="s">
        <v>17</v>
      </c>
      <c r="E183" t="s">
        <v>28</v>
      </c>
      <c r="F183" t="s">
        <v>203</v>
      </c>
      <c r="G183">
        <v>10.0396</v>
      </c>
      <c r="H183" t="str">
        <f t="shared" si="3"/>
        <v>ok</v>
      </c>
    </row>
    <row r="184" spans="1:8" x14ac:dyDescent="0.3">
      <c r="A184" s="2">
        <v>46026</v>
      </c>
      <c r="B184" t="s">
        <v>23</v>
      </c>
      <c r="C184" t="s">
        <v>19</v>
      </c>
      <c r="D184" t="s">
        <v>17</v>
      </c>
      <c r="E184" t="s">
        <v>14</v>
      </c>
      <c r="F184" t="s">
        <v>204</v>
      </c>
      <c r="G184">
        <v>10.0223</v>
      </c>
      <c r="H184" t="str">
        <f t="shared" si="3"/>
        <v>ok</v>
      </c>
    </row>
    <row r="185" spans="1:8" x14ac:dyDescent="0.3">
      <c r="A185" s="2">
        <v>46026</v>
      </c>
      <c r="B185" t="s">
        <v>7</v>
      </c>
      <c r="C185" t="s">
        <v>19</v>
      </c>
      <c r="D185" t="s">
        <v>9</v>
      </c>
      <c r="E185" t="s">
        <v>21</v>
      </c>
      <c r="F185" t="s">
        <v>205</v>
      </c>
      <c r="G185">
        <v>9.9829000000000008</v>
      </c>
      <c r="H185" t="str">
        <f t="shared" si="3"/>
        <v>ok</v>
      </c>
    </row>
    <row r="186" spans="1:8" x14ac:dyDescent="0.3">
      <c r="A186" s="2">
        <v>46026</v>
      </c>
      <c r="B186" t="s">
        <v>12</v>
      </c>
      <c r="C186" t="s">
        <v>8</v>
      </c>
      <c r="D186" t="s">
        <v>13</v>
      </c>
      <c r="E186" t="s">
        <v>10</v>
      </c>
      <c r="F186" t="s">
        <v>206</v>
      </c>
      <c r="G186">
        <v>10.016999999999999</v>
      </c>
      <c r="H186" t="str">
        <f t="shared" si="3"/>
        <v>ok</v>
      </c>
    </row>
    <row r="187" spans="1:8" x14ac:dyDescent="0.3">
      <c r="A187" s="2">
        <v>46026</v>
      </c>
      <c r="B187" t="s">
        <v>23</v>
      </c>
      <c r="C187" t="s">
        <v>16</v>
      </c>
      <c r="D187" t="s">
        <v>9</v>
      </c>
      <c r="E187" t="s">
        <v>14</v>
      </c>
      <c r="F187" t="s">
        <v>207</v>
      </c>
      <c r="G187">
        <v>10.004300000000001</v>
      </c>
      <c r="H187" t="str">
        <f t="shared" si="3"/>
        <v>ok</v>
      </c>
    </row>
    <row r="188" spans="1:8" x14ac:dyDescent="0.3">
      <c r="A188" s="2">
        <v>46026</v>
      </c>
      <c r="B188" t="s">
        <v>12</v>
      </c>
      <c r="C188" t="s">
        <v>8</v>
      </c>
      <c r="D188" t="s">
        <v>34</v>
      </c>
      <c r="E188" t="s">
        <v>14</v>
      </c>
      <c r="F188" t="s">
        <v>208</v>
      </c>
      <c r="G188">
        <v>10.0929</v>
      </c>
      <c r="H188" t="str">
        <f t="shared" si="3"/>
        <v>ok</v>
      </c>
    </row>
    <row r="189" spans="1:8" x14ac:dyDescent="0.3">
      <c r="A189" s="2">
        <v>46026</v>
      </c>
      <c r="B189" t="s">
        <v>7</v>
      </c>
      <c r="C189" t="s">
        <v>16</v>
      </c>
      <c r="D189" t="s">
        <v>13</v>
      </c>
      <c r="E189" t="s">
        <v>36</v>
      </c>
      <c r="F189" t="s">
        <v>209</v>
      </c>
      <c r="G189">
        <v>9.9725999999999999</v>
      </c>
      <c r="H189" t="str">
        <f t="shared" si="3"/>
        <v>ok</v>
      </c>
    </row>
    <row r="190" spans="1:8" x14ac:dyDescent="0.3">
      <c r="A190" s="2">
        <v>46026</v>
      </c>
      <c r="B190" t="s">
        <v>7</v>
      </c>
      <c r="C190" t="s">
        <v>16</v>
      </c>
      <c r="D190" t="s">
        <v>17</v>
      </c>
      <c r="E190" t="s">
        <v>21</v>
      </c>
      <c r="F190" t="s">
        <v>210</v>
      </c>
      <c r="G190">
        <v>10.036099999999999</v>
      </c>
      <c r="H190" t="str">
        <f t="shared" si="3"/>
        <v>ok</v>
      </c>
    </row>
    <row r="191" spans="1:8" x14ac:dyDescent="0.3">
      <c r="A191" s="2">
        <v>46026</v>
      </c>
      <c r="B191" t="s">
        <v>12</v>
      </c>
      <c r="C191" t="s">
        <v>16</v>
      </c>
      <c r="D191" t="s">
        <v>17</v>
      </c>
      <c r="E191" t="s">
        <v>14</v>
      </c>
      <c r="F191" t="s">
        <v>211</v>
      </c>
      <c r="G191">
        <v>9.9989000000000008</v>
      </c>
      <c r="H191" t="str">
        <f t="shared" si="3"/>
        <v>ok</v>
      </c>
    </row>
    <row r="192" spans="1:8" x14ac:dyDescent="0.3">
      <c r="A192" s="2">
        <v>46026</v>
      </c>
      <c r="B192" t="s">
        <v>7</v>
      </c>
      <c r="C192" t="s">
        <v>8</v>
      </c>
      <c r="D192" t="s">
        <v>13</v>
      </c>
      <c r="E192" t="s">
        <v>36</v>
      </c>
      <c r="F192" t="s">
        <v>212</v>
      </c>
      <c r="G192">
        <v>9.9890000000000008</v>
      </c>
      <c r="H192" t="str">
        <f t="shared" si="3"/>
        <v>ok</v>
      </c>
    </row>
    <row r="193" spans="1:8" x14ac:dyDescent="0.3">
      <c r="A193" s="2">
        <v>46026</v>
      </c>
      <c r="B193" t="s">
        <v>7</v>
      </c>
      <c r="C193" t="s">
        <v>19</v>
      </c>
      <c r="D193" t="s">
        <v>13</v>
      </c>
      <c r="E193" t="s">
        <v>14</v>
      </c>
      <c r="F193" t="s">
        <v>213</v>
      </c>
      <c r="G193">
        <v>9.9878</v>
      </c>
      <c r="H193" t="str">
        <f t="shared" si="3"/>
        <v>ok</v>
      </c>
    </row>
    <row r="194" spans="1:8" x14ac:dyDescent="0.3">
      <c r="A194" s="2">
        <v>46026</v>
      </c>
      <c r="B194" t="s">
        <v>7</v>
      </c>
      <c r="C194" t="s">
        <v>16</v>
      </c>
      <c r="D194" t="s">
        <v>17</v>
      </c>
      <c r="E194" t="s">
        <v>21</v>
      </c>
      <c r="F194" t="s">
        <v>214</v>
      </c>
      <c r="G194">
        <v>9.9981000000000009</v>
      </c>
      <c r="H194" t="str">
        <f t="shared" si="3"/>
        <v>ok</v>
      </c>
    </row>
    <row r="195" spans="1:8" x14ac:dyDescent="0.3">
      <c r="A195" s="2">
        <v>46026</v>
      </c>
      <c r="B195" t="s">
        <v>12</v>
      </c>
      <c r="C195" t="s">
        <v>8</v>
      </c>
      <c r="D195" t="s">
        <v>34</v>
      </c>
      <c r="E195" t="s">
        <v>36</v>
      </c>
      <c r="F195" t="s">
        <v>215</v>
      </c>
      <c r="G195">
        <v>10.000299999999999</v>
      </c>
      <c r="H195" t="str">
        <f t="shared" si="3"/>
        <v>ok</v>
      </c>
    </row>
    <row r="196" spans="1:8" x14ac:dyDescent="0.3">
      <c r="A196" s="2">
        <v>46026</v>
      </c>
      <c r="B196" t="s">
        <v>7</v>
      </c>
      <c r="C196" t="s">
        <v>16</v>
      </c>
      <c r="D196" t="s">
        <v>9</v>
      </c>
      <c r="E196" t="s">
        <v>36</v>
      </c>
      <c r="F196" t="s">
        <v>216</v>
      </c>
      <c r="G196">
        <v>9.9811999999999994</v>
      </c>
      <c r="H196" t="str">
        <f t="shared" si="3"/>
        <v>ok</v>
      </c>
    </row>
    <row r="197" spans="1:8" x14ac:dyDescent="0.3">
      <c r="A197" s="2">
        <v>46026</v>
      </c>
      <c r="B197" t="s">
        <v>12</v>
      </c>
      <c r="C197" t="s">
        <v>8</v>
      </c>
      <c r="D197" t="s">
        <v>9</v>
      </c>
      <c r="E197" t="s">
        <v>10</v>
      </c>
      <c r="F197" t="s">
        <v>217</v>
      </c>
      <c r="G197">
        <v>10.049799999999999</v>
      </c>
      <c r="H197" t="str">
        <f t="shared" si="3"/>
        <v>ok</v>
      </c>
    </row>
    <row r="198" spans="1:8" x14ac:dyDescent="0.3">
      <c r="A198" s="2">
        <v>46026</v>
      </c>
      <c r="B198" t="s">
        <v>23</v>
      </c>
      <c r="C198" t="s">
        <v>8</v>
      </c>
      <c r="D198" t="s">
        <v>17</v>
      </c>
      <c r="E198" t="s">
        <v>28</v>
      </c>
      <c r="F198" t="s">
        <v>218</v>
      </c>
      <c r="G198">
        <v>9.9779999999999998</v>
      </c>
      <c r="H198" t="str">
        <f t="shared" ref="H198:H261" si="4">IF(OR(G198&gt;10.5,G198&lt;9.95),"Defect","ok")</f>
        <v>ok</v>
      </c>
    </row>
    <row r="199" spans="1:8" x14ac:dyDescent="0.3">
      <c r="A199" s="2">
        <v>46026</v>
      </c>
      <c r="B199" t="s">
        <v>7</v>
      </c>
      <c r="C199" t="s">
        <v>8</v>
      </c>
      <c r="D199" t="s">
        <v>17</v>
      </c>
      <c r="E199" t="s">
        <v>21</v>
      </c>
      <c r="F199" t="s">
        <v>219</v>
      </c>
      <c r="G199">
        <v>9.9709000000000003</v>
      </c>
      <c r="H199" t="str">
        <f t="shared" si="4"/>
        <v>ok</v>
      </c>
    </row>
    <row r="200" spans="1:8" x14ac:dyDescent="0.3">
      <c r="A200" s="2">
        <v>46026</v>
      </c>
      <c r="B200" t="s">
        <v>23</v>
      </c>
      <c r="C200" t="s">
        <v>16</v>
      </c>
      <c r="D200" t="s">
        <v>34</v>
      </c>
      <c r="E200" t="s">
        <v>36</v>
      </c>
      <c r="F200" t="s">
        <v>220</v>
      </c>
      <c r="G200">
        <v>9.9550999999999998</v>
      </c>
      <c r="H200" t="str">
        <f t="shared" si="4"/>
        <v>ok</v>
      </c>
    </row>
    <row r="201" spans="1:8" x14ac:dyDescent="0.3">
      <c r="A201" s="2">
        <v>46026</v>
      </c>
      <c r="B201" t="s">
        <v>23</v>
      </c>
      <c r="C201" t="s">
        <v>8</v>
      </c>
      <c r="D201" t="s">
        <v>9</v>
      </c>
      <c r="E201" t="s">
        <v>28</v>
      </c>
      <c r="F201" t="s">
        <v>221</v>
      </c>
      <c r="G201">
        <v>10.0097</v>
      </c>
      <c r="H201" t="str">
        <f t="shared" si="4"/>
        <v>ok</v>
      </c>
    </row>
    <row r="202" spans="1:8" x14ac:dyDescent="0.3">
      <c r="A202" s="2">
        <v>46027</v>
      </c>
      <c r="B202" t="s">
        <v>12</v>
      </c>
      <c r="C202" t="s">
        <v>19</v>
      </c>
      <c r="D202" t="s">
        <v>9</v>
      </c>
      <c r="E202" t="s">
        <v>10</v>
      </c>
      <c r="F202" t="s">
        <v>222</v>
      </c>
      <c r="G202">
        <v>10.008699999999999</v>
      </c>
      <c r="H202" t="str">
        <f t="shared" si="4"/>
        <v>ok</v>
      </c>
    </row>
    <row r="203" spans="1:8" x14ac:dyDescent="0.3">
      <c r="A203" s="2">
        <v>46027</v>
      </c>
      <c r="B203" t="s">
        <v>23</v>
      </c>
      <c r="C203" t="s">
        <v>16</v>
      </c>
      <c r="D203" t="s">
        <v>9</v>
      </c>
      <c r="E203" t="s">
        <v>28</v>
      </c>
      <c r="F203" t="s">
        <v>223</v>
      </c>
      <c r="G203">
        <v>9.9802999999999997</v>
      </c>
      <c r="H203" t="str">
        <f t="shared" si="4"/>
        <v>ok</v>
      </c>
    </row>
    <row r="204" spans="1:8" x14ac:dyDescent="0.3">
      <c r="A204" s="2">
        <v>46027</v>
      </c>
      <c r="B204" t="s">
        <v>23</v>
      </c>
      <c r="C204" t="s">
        <v>8</v>
      </c>
      <c r="D204" t="s">
        <v>17</v>
      </c>
      <c r="E204" t="s">
        <v>36</v>
      </c>
      <c r="F204" t="s">
        <v>224</v>
      </c>
      <c r="G204">
        <v>10.0061</v>
      </c>
      <c r="H204" t="str">
        <f t="shared" si="4"/>
        <v>ok</v>
      </c>
    </row>
    <row r="205" spans="1:8" x14ac:dyDescent="0.3">
      <c r="A205" s="2">
        <v>46027</v>
      </c>
      <c r="B205" t="s">
        <v>12</v>
      </c>
      <c r="C205" t="s">
        <v>16</v>
      </c>
      <c r="D205" t="s">
        <v>34</v>
      </c>
      <c r="E205" t="s">
        <v>14</v>
      </c>
      <c r="F205" t="s">
        <v>225</v>
      </c>
      <c r="G205">
        <v>10.005000000000001</v>
      </c>
      <c r="H205" t="str">
        <f t="shared" si="4"/>
        <v>ok</v>
      </c>
    </row>
    <row r="206" spans="1:8" x14ac:dyDescent="0.3">
      <c r="A206" s="2">
        <v>46027</v>
      </c>
      <c r="B206" t="s">
        <v>23</v>
      </c>
      <c r="C206" t="s">
        <v>8</v>
      </c>
      <c r="D206" t="s">
        <v>34</v>
      </c>
      <c r="E206" t="s">
        <v>10</v>
      </c>
      <c r="F206" t="s">
        <v>226</v>
      </c>
      <c r="G206">
        <v>10.0078</v>
      </c>
      <c r="H206" t="str">
        <f t="shared" si="4"/>
        <v>ok</v>
      </c>
    </row>
    <row r="207" spans="1:8" x14ac:dyDescent="0.3">
      <c r="A207" s="2">
        <v>46027</v>
      </c>
      <c r="B207" t="s">
        <v>23</v>
      </c>
      <c r="C207" t="s">
        <v>16</v>
      </c>
      <c r="D207" t="s">
        <v>34</v>
      </c>
      <c r="E207" t="s">
        <v>36</v>
      </c>
      <c r="F207" t="s">
        <v>227</v>
      </c>
      <c r="G207">
        <v>10.0144</v>
      </c>
      <c r="H207" t="str">
        <f t="shared" si="4"/>
        <v>ok</v>
      </c>
    </row>
    <row r="208" spans="1:8" x14ac:dyDescent="0.3">
      <c r="A208" s="2">
        <v>46027</v>
      </c>
      <c r="B208" t="s">
        <v>12</v>
      </c>
      <c r="C208" t="s">
        <v>8</v>
      </c>
      <c r="D208" t="s">
        <v>34</v>
      </c>
      <c r="E208" t="s">
        <v>14</v>
      </c>
      <c r="F208" t="s">
        <v>228</v>
      </c>
      <c r="G208">
        <v>10.014699999999999</v>
      </c>
      <c r="H208" t="str">
        <f t="shared" si="4"/>
        <v>ok</v>
      </c>
    </row>
    <row r="209" spans="1:8" x14ac:dyDescent="0.3">
      <c r="A209" s="2">
        <v>46027</v>
      </c>
      <c r="B209" t="s">
        <v>23</v>
      </c>
      <c r="C209" t="s">
        <v>16</v>
      </c>
      <c r="D209" t="s">
        <v>13</v>
      </c>
      <c r="E209" t="s">
        <v>10</v>
      </c>
      <c r="F209" t="s">
        <v>229</v>
      </c>
      <c r="G209">
        <v>10.011900000000001</v>
      </c>
      <c r="H209" t="str">
        <f t="shared" si="4"/>
        <v>ok</v>
      </c>
    </row>
    <row r="210" spans="1:8" x14ac:dyDescent="0.3">
      <c r="A210" s="2">
        <v>46027</v>
      </c>
      <c r="B210" t="s">
        <v>12</v>
      </c>
      <c r="C210" t="s">
        <v>16</v>
      </c>
      <c r="D210" t="s">
        <v>13</v>
      </c>
      <c r="E210" t="s">
        <v>28</v>
      </c>
      <c r="F210" t="s">
        <v>230</v>
      </c>
      <c r="G210">
        <v>9.9890000000000008</v>
      </c>
      <c r="H210" t="str">
        <f t="shared" si="4"/>
        <v>ok</v>
      </c>
    </row>
    <row r="211" spans="1:8" x14ac:dyDescent="0.3">
      <c r="A211" s="2">
        <v>46027</v>
      </c>
      <c r="B211" t="s">
        <v>7</v>
      </c>
      <c r="C211" t="s">
        <v>16</v>
      </c>
      <c r="D211" t="s">
        <v>17</v>
      </c>
      <c r="E211" t="s">
        <v>36</v>
      </c>
      <c r="F211" t="s">
        <v>231</v>
      </c>
      <c r="G211">
        <v>10.0273</v>
      </c>
      <c r="H211" t="str">
        <f t="shared" si="4"/>
        <v>ok</v>
      </c>
    </row>
    <row r="212" spans="1:8" x14ac:dyDescent="0.3">
      <c r="A212" s="2">
        <v>46027</v>
      </c>
      <c r="B212" t="s">
        <v>23</v>
      </c>
      <c r="C212" t="s">
        <v>19</v>
      </c>
      <c r="D212" t="s">
        <v>13</v>
      </c>
      <c r="E212" t="s">
        <v>14</v>
      </c>
      <c r="F212" t="s">
        <v>232</v>
      </c>
      <c r="G212">
        <v>9.9916999999999998</v>
      </c>
      <c r="H212" t="str">
        <f t="shared" si="4"/>
        <v>ok</v>
      </c>
    </row>
    <row r="213" spans="1:8" x14ac:dyDescent="0.3">
      <c r="A213" s="2">
        <v>46027</v>
      </c>
      <c r="B213" t="s">
        <v>12</v>
      </c>
      <c r="C213" t="s">
        <v>16</v>
      </c>
      <c r="D213" t="s">
        <v>17</v>
      </c>
      <c r="E213" t="s">
        <v>28</v>
      </c>
      <c r="F213" t="s">
        <v>233</v>
      </c>
      <c r="G213">
        <v>10.054399999999999</v>
      </c>
      <c r="H213" t="str">
        <f t="shared" si="4"/>
        <v>ok</v>
      </c>
    </row>
    <row r="214" spans="1:8" x14ac:dyDescent="0.3">
      <c r="A214" s="2">
        <v>46027</v>
      </c>
      <c r="B214" t="s">
        <v>7</v>
      </c>
      <c r="C214" t="s">
        <v>8</v>
      </c>
      <c r="D214" t="s">
        <v>13</v>
      </c>
      <c r="E214" t="s">
        <v>14</v>
      </c>
      <c r="F214" t="s">
        <v>234</v>
      </c>
      <c r="G214">
        <v>9.9877000000000002</v>
      </c>
      <c r="H214" t="str">
        <f t="shared" si="4"/>
        <v>ok</v>
      </c>
    </row>
    <row r="215" spans="1:8" x14ac:dyDescent="0.3">
      <c r="A215" s="2">
        <v>46027</v>
      </c>
      <c r="B215" t="s">
        <v>23</v>
      </c>
      <c r="C215" t="s">
        <v>19</v>
      </c>
      <c r="D215" t="s">
        <v>9</v>
      </c>
      <c r="E215" t="s">
        <v>28</v>
      </c>
      <c r="F215" t="s">
        <v>235</v>
      </c>
      <c r="G215">
        <v>9.9899000000000004</v>
      </c>
      <c r="H215" t="str">
        <f t="shared" si="4"/>
        <v>ok</v>
      </c>
    </row>
    <row r="216" spans="1:8" x14ac:dyDescent="0.3">
      <c r="A216" s="2">
        <v>46027</v>
      </c>
      <c r="B216" t="s">
        <v>7</v>
      </c>
      <c r="C216" t="s">
        <v>19</v>
      </c>
      <c r="D216" t="s">
        <v>9</v>
      </c>
      <c r="E216" t="s">
        <v>10</v>
      </c>
      <c r="F216" t="s">
        <v>236</v>
      </c>
      <c r="G216">
        <v>9.9636999999999993</v>
      </c>
      <c r="H216" t="str">
        <f t="shared" si="4"/>
        <v>ok</v>
      </c>
    </row>
    <row r="217" spans="1:8" x14ac:dyDescent="0.3">
      <c r="A217" s="2">
        <v>46027</v>
      </c>
      <c r="B217" t="s">
        <v>12</v>
      </c>
      <c r="C217" t="s">
        <v>8</v>
      </c>
      <c r="D217" t="s">
        <v>9</v>
      </c>
      <c r="E217" t="s">
        <v>36</v>
      </c>
      <c r="F217" t="s">
        <v>237</v>
      </c>
      <c r="G217">
        <v>10.0038</v>
      </c>
      <c r="H217" t="str">
        <f t="shared" si="4"/>
        <v>ok</v>
      </c>
    </row>
    <row r="218" spans="1:8" x14ac:dyDescent="0.3">
      <c r="A218" s="2">
        <v>46027</v>
      </c>
      <c r="B218" t="s">
        <v>7</v>
      </c>
      <c r="C218" t="s">
        <v>16</v>
      </c>
      <c r="D218" t="s">
        <v>9</v>
      </c>
      <c r="E218" t="s">
        <v>14</v>
      </c>
      <c r="F218" t="s">
        <v>238</v>
      </c>
      <c r="G218">
        <v>9.9742999999999995</v>
      </c>
      <c r="H218" t="str">
        <f t="shared" si="4"/>
        <v>ok</v>
      </c>
    </row>
    <row r="219" spans="1:8" x14ac:dyDescent="0.3">
      <c r="A219" s="2">
        <v>46027</v>
      </c>
      <c r="B219" t="s">
        <v>7</v>
      </c>
      <c r="C219" t="s">
        <v>8</v>
      </c>
      <c r="D219" t="s">
        <v>13</v>
      </c>
      <c r="E219" t="s">
        <v>21</v>
      </c>
      <c r="F219" t="s">
        <v>239</v>
      </c>
      <c r="G219">
        <v>10.034599999999999</v>
      </c>
      <c r="H219" t="str">
        <f t="shared" si="4"/>
        <v>ok</v>
      </c>
    </row>
    <row r="220" spans="1:8" x14ac:dyDescent="0.3">
      <c r="A220" s="2">
        <v>46027</v>
      </c>
      <c r="B220" t="s">
        <v>12</v>
      </c>
      <c r="C220" t="s">
        <v>16</v>
      </c>
      <c r="D220" t="s">
        <v>34</v>
      </c>
      <c r="E220" t="s">
        <v>14</v>
      </c>
      <c r="F220" t="s">
        <v>240</v>
      </c>
      <c r="G220">
        <v>9.9890000000000008</v>
      </c>
      <c r="H220" t="str">
        <f t="shared" si="4"/>
        <v>ok</v>
      </c>
    </row>
    <row r="221" spans="1:8" x14ac:dyDescent="0.3">
      <c r="A221" s="2">
        <v>46027</v>
      </c>
      <c r="B221" t="s">
        <v>7</v>
      </c>
      <c r="C221" t="s">
        <v>19</v>
      </c>
      <c r="D221" t="s">
        <v>9</v>
      </c>
      <c r="E221" t="s">
        <v>14</v>
      </c>
      <c r="F221" t="s">
        <v>241</v>
      </c>
      <c r="G221">
        <v>9.9989000000000008</v>
      </c>
      <c r="H221" t="str">
        <f t="shared" si="4"/>
        <v>ok</v>
      </c>
    </row>
    <row r="222" spans="1:8" x14ac:dyDescent="0.3">
      <c r="A222" s="2">
        <v>46027</v>
      </c>
      <c r="B222" t="s">
        <v>7</v>
      </c>
      <c r="C222" t="s">
        <v>19</v>
      </c>
      <c r="D222" t="s">
        <v>13</v>
      </c>
      <c r="E222" t="s">
        <v>14</v>
      </c>
      <c r="F222" t="s">
        <v>242</v>
      </c>
      <c r="G222">
        <v>9.9895999999999994</v>
      </c>
      <c r="H222" t="str">
        <f t="shared" si="4"/>
        <v>ok</v>
      </c>
    </row>
    <row r="223" spans="1:8" x14ac:dyDescent="0.3">
      <c r="A223" s="2">
        <v>46027</v>
      </c>
      <c r="B223" t="s">
        <v>7</v>
      </c>
      <c r="C223" t="s">
        <v>19</v>
      </c>
      <c r="D223" t="s">
        <v>34</v>
      </c>
      <c r="E223" t="s">
        <v>36</v>
      </c>
      <c r="F223" t="s">
        <v>243</v>
      </c>
      <c r="G223">
        <v>10.016999999999999</v>
      </c>
      <c r="H223" t="str">
        <f t="shared" si="4"/>
        <v>ok</v>
      </c>
    </row>
    <row r="224" spans="1:8" x14ac:dyDescent="0.3">
      <c r="A224" s="2">
        <v>46027</v>
      </c>
      <c r="B224" t="s">
        <v>7</v>
      </c>
      <c r="C224" t="s">
        <v>8</v>
      </c>
      <c r="D224" t="s">
        <v>13</v>
      </c>
      <c r="E224" t="s">
        <v>28</v>
      </c>
      <c r="F224" t="s">
        <v>244</v>
      </c>
      <c r="G224">
        <v>10.000400000000001</v>
      </c>
      <c r="H224" t="str">
        <f t="shared" si="4"/>
        <v>ok</v>
      </c>
    </row>
    <row r="225" spans="1:8" x14ac:dyDescent="0.3">
      <c r="A225" s="2">
        <v>46027</v>
      </c>
      <c r="B225" t="s">
        <v>23</v>
      </c>
      <c r="C225" t="s">
        <v>8</v>
      </c>
      <c r="D225" t="s">
        <v>34</v>
      </c>
      <c r="E225" t="s">
        <v>10</v>
      </c>
      <c r="F225" t="s">
        <v>245</v>
      </c>
      <c r="G225">
        <v>9.9623000000000008</v>
      </c>
      <c r="H225" t="str">
        <f t="shared" si="4"/>
        <v>ok</v>
      </c>
    </row>
    <row r="226" spans="1:8" x14ac:dyDescent="0.3">
      <c r="A226" s="2">
        <v>46027</v>
      </c>
      <c r="B226" t="s">
        <v>23</v>
      </c>
      <c r="C226" t="s">
        <v>8</v>
      </c>
      <c r="D226" t="s">
        <v>17</v>
      </c>
      <c r="E226" t="s">
        <v>36</v>
      </c>
      <c r="F226" t="s">
        <v>246</v>
      </c>
      <c r="G226">
        <v>10.009399999999999</v>
      </c>
      <c r="H226" t="str">
        <f t="shared" si="4"/>
        <v>ok</v>
      </c>
    </row>
    <row r="227" spans="1:8" x14ac:dyDescent="0.3">
      <c r="A227" s="2">
        <v>46027</v>
      </c>
      <c r="B227" t="s">
        <v>12</v>
      </c>
      <c r="C227" t="s">
        <v>16</v>
      </c>
      <c r="D227" t="s">
        <v>17</v>
      </c>
      <c r="E227" t="s">
        <v>14</v>
      </c>
      <c r="F227" t="s">
        <v>247</v>
      </c>
      <c r="G227">
        <v>9.9982000000000006</v>
      </c>
      <c r="H227" t="str">
        <f t="shared" si="4"/>
        <v>ok</v>
      </c>
    </row>
    <row r="228" spans="1:8" x14ac:dyDescent="0.3">
      <c r="A228" s="2">
        <v>46027</v>
      </c>
      <c r="B228" t="s">
        <v>23</v>
      </c>
      <c r="C228" t="s">
        <v>16</v>
      </c>
      <c r="D228" t="s">
        <v>17</v>
      </c>
      <c r="E228" t="s">
        <v>10</v>
      </c>
      <c r="F228" t="s">
        <v>248</v>
      </c>
      <c r="G228">
        <v>9.9880999999999993</v>
      </c>
      <c r="H228" t="str">
        <f t="shared" si="4"/>
        <v>ok</v>
      </c>
    </row>
    <row r="229" spans="1:8" x14ac:dyDescent="0.3">
      <c r="A229" s="2">
        <v>46027</v>
      </c>
      <c r="B229" t="s">
        <v>23</v>
      </c>
      <c r="C229" t="s">
        <v>19</v>
      </c>
      <c r="D229" t="s">
        <v>17</v>
      </c>
      <c r="E229" t="s">
        <v>10</v>
      </c>
      <c r="F229" t="s">
        <v>249</v>
      </c>
      <c r="G229">
        <v>10.026899999999999</v>
      </c>
      <c r="H229" t="str">
        <f t="shared" si="4"/>
        <v>ok</v>
      </c>
    </row>
    <row r="230" spans="1:8" x14ac:dyDescent="0.3">
      <c r="A230" s="2">
        <v>46027</v>
      </c>
      <c r="B230" t="s">
        <v>7</v>
      </c>
      <c r="C230" t="s">
        <v>8</v>
      </c>
      <c r="D230" t="s">
        <v>13</v>
      </c>
      <c r="E230" t="s">
        <v>28</v>
      </c>
      <c r="F230" t="s">
        <v>250</v>
      </c>
      <c r="G230">
        <v>9.9863999999999997</v>
      </c>
      <c r="H230" t="str">
        <f t="shared" si="4"/>
        <v>ok</v>
      </c>
    </row>
    <row r="231" spans="1:8" x14ac:dyDescent="0.3">
      <c r="A231" s="2">
        <v>46027</v>
      </c>
      <c r="B231" t="s">
        <v>12</v>
      </c>
      <c r="C231" t="s">
        <v>16</v>
      </c>
      <c r="D231" t="s">
        <v>9</v>
      </c>
      <c r="E231" t="s">
        <v>21</v>
      </c>
      <c r="F231" t="s">
        <v>251</v>
      </c>
      <c r="G231">
        <v>10.021800000000001</v>
      </c>
      <c r="H231" t="str">
        <f t="shared" si="4"/>
        <v>ok</v>
      </c>
    </row>
    <row r="232" spans="1:8" x14ac:dyDescent="0.3">
      <c r="A232" s="2">
        <v>46027</v>
      </c>
      <c r="B232" t="s">
        <v>7</v>
      </c>
      <c r="C232" t="s">
        <v>8</v>
      </c>
      <c r="D232" t="s">
        <v>13</v>
      </c>
      <c r="E232" t="s">
        <v>28</v>
      </c>
      <c r="F232" t="s">
        <v>252</v>
      </c>
      <c r="G232">
        <v>10.005699999999999</v>
      </c>
      <c r="H232" t="str">
        <f t="shared" si="4"/>
        <v>ok</v>
      </c>
    </row>
    <row r="233" spans="1:8" x14ac:dyDescent="0.3">
      <c r="A233" s="2">
        <v>46027</v>
      </c>
      <c r="B233" t="s">
        <v>23</v>
      </c>
      <c r="C233" t="s">
        <v>8</v>
      </c>
      <c r="D233" t="s">
        <v>13</v>
      </c>
      <c r="E233" t="s">
        <v>14</v>
      </c>
      <c r="F233" t="s">
        <v>253</v>
      </c>
      <c r="G233">
        <v>9.99</v>
      </c>
      <c r="H233" t="str">
        <f t="shared" si="4"/>
        <v>ok</v>
      </c>
    </row>
    <row r="234" spans="1:8" x14ac:dyDescent="0.3">
      <c r="A234" s="2">
        <v>46027</v>
      </c>
      <c r="B234" t="s">
        <v>7</v>
      </c>
      <c r="C234" t="s">
        <v>19</v>
      </c>
      <c r="D234" t="s">
        <v>17</v>
      </c>
      <c r="E234" t="s">
        <v>28</v>
      </c>
      <c r="F234" t="s">
        <v>254</v>
      </c>
      <c r="G234">
        <v>9.9999000000000002</v>
      </c>
      <c r="H234" t="str">
        <f t="shared" si="4"/>
        <v>ok</v>
      </c>
    </row>
    <row r="235" spans="1:8" x14ac:dyDescent="0.3">
      <c r="A235" s="2">
        <v>46027</v>
      </c>
      <c r="B235" t="s">
        <v>12</v>
      </c>
      <c r="C235" t="s">
        <v>16</v>
      </c>
      <c r="D235" t="s">
        <v>9</v>
      </c>
      <c r="E235" t="s">
        <v>36</v>
      </c>
      <c r="F235" t="s">
        <v>255</v>
      </c>
      <c r="G235">
        <v>10.016299999999999</v>
      </c>
      <c r="H235" t="str">
        <f t="shared" si="4"/>
        <v>ok</v>
      </c>
    </row>
    <row r="236" spans="1:8" x14ac:dyDescent="0.3">
      <c r="A236" s="2">
        <v>46027</v>
      </c>
      <c r="B236" t="s">
        <v>7</v>
      </c>
      <c r="C236" t="s">
        <v>16</v>
      </c>
      <c r="D236" t="s">
        <v>17</v>
      </c>
      <c r="E236" t="s">
        <v>10</v>
      </c>
      <c r="F236" t="s">
        <v>256</v>
      </c>
      <c r="G236">
        <v>9.9964999999999993</v>
      </c>
      <c r="H236" t="str">
        <f t="shared" si="4"/>
        <v>ok</v>
      </c>
    </row>
    <row r="237" spans="1:8" x14ac:dyDescent="0.3">
      <c r="A237" s="2">
        <v>46027</v>
      </c>
      <c r="B237" t="s">
        <v>23</v>
      </c>
      <c r="C237" t="s">
        <v>19</v>
      </c>
      <c r="D237" t="s">
        <v>9</v>
      </c>
      <c r="E237" t="s">
        <v>36</v>
      </c>
      <c r="F237" t="s">
        <v>257</v>
      </c>
      <c r="G237">
        <v>9.9895999999999994</v>
      </c>
      <c r="H237" t="str">
        <f t="shared" si="4"/>
        <v>ok</v>
      </c>
    </row>
    <row r="238" spans="1:8" x14ac:dyDescent="0.3">
      <c r="A238" s="2">
        <v>46027</v>
      </c>
      <c r="B238" t="s">
        <v>12</v>
      </c>
      <c r="C238" t="s">
        <v>19</v>
      </c>
      <c r="D238" t="s">
        <v>9</v>
      </c>
      <c r="E238" t="s">
        <v>36</v>
      </c>
      <c r="F238" t="s">
        <v>258</v>
      </c>
      <c r="G238">
        <v>9.9850999999999992</v>
      </c>
      <c r="H238" t="str">
        <f t="shared" si="4"/>
        <v>ok</v>
      </c>
    </row>
    <row r="239" spans="1:8" x14ac:dyDescent="0.3">
      <c r="A239" s="2">
        <v>46027</v>
      </c>
      <c r="B239" t="s">
        <v>12</v>
      </c>
      <c r="C239" t="s">
        <v>19</v>
      </c>
      <c r="D239" t="s">
        <v>34</v>
      </c>
      <c r="E239" t="s">
        <v>14</v>
      </c>
      <c r="F239" t="s">
        <v>259</v>
      </c>
      <c r="G239">
        <v>9.9983000000000004</v>
      </c>
      <c r="H239" t="str">
        <f t="shared" si="4"/>
        <v>ok</v>
      </c>
    </row>
    <row r="240" spans="1:8" x14ac:dyDescent="0.3">
      <c r="A240" s="2">
        <v>46027</v>
      </c>
      <c r="B240" t="s">
        <v>12</v>
      </c>
      <c r="C240" t="s">
        <v>19</v>
      </c>
      <c r="D240" t="s">
        <v>34</v>
      </c>
      <c r="E240" t="s">
        <v>10</v>
      </c>
      <c r="F240" t="s">
        <v>260</v>
      </c>
      <c r="G240">
        <v>10.049300000000001</v>
      </c>
      <c r="H240" t="str">
        <f t="shared" si="4"/>
        <v>ok</v>
      </c>
    </row>
    <row r="241" spans="1:8" x14ac:dyDescent="0.3">
      <c r="A241" s="2">
        <v>46027</v>
      </c>
      <c r="B241" t="s">
        <v>12</v>
      </c>
      <c r="C241" t="s">
        <v>8</v>
      </c>
      <c r="D241" t="s">
        <v>34</v>
      </c>
      <c r="E241" t="s">
        <v>36</v>
      </c>
      <c r="F241" t="s">
        <v>261</v>
      </c>
      <c r="G241">
        <v>10.0403</v>
      </c>
      <c r="H241" t="str">
        <f t="shared" si="4"/>
        <v>ok</v>
      </c>
    </row>
    <row r="242" spans="1:8" x14ac:dyDescent="0.3">
      <c r="A242" s="2">
        <v>46027</v>
      </c>
      <c r="B242" t="s">
        <v>12</v>
      </c>
      <c r="C242" t="s">
        <v>19</v>
      </c>
      <c r="D242" t="s">
        <v>34</v>
      </c>
      <c r="E242" t="s">
        <v>28</v>
      </c>
      <c r="F242" t="s">
        <v>262</v>
      </c>
      <c r="G242">
        <v>10.02</v>
      </c>
      <c r="H242" t="str">
        <f t="shared" si="4"/>
        <v>ok</v>
      </c>
    </row>
    <row r="243" spans="1:8" x14ac:dyDescent="0.3">
      <c r="A243" s="2">
        <v>46027</v>
      </c>
      <c r="B243" t="s">
        <v>12</v>
      </c>
      <c r="C243" t="s">
        <v>16</v>
      </c>
      <c r="D243" t="s">
        <v>17</v>
      </c>
      <c r="E243" t="s">
        <v>21</v>
      </c>
      <c r="F243" t="s">
        <v>263</v>
      </c>
      <c r="G243">
        <v>10.015599999999999</v>
      </c>
      <c r="H243" t="str">
        <f t="shared" si="4"/>
        <v>ok</v>
      </c>
    </row>
    <row r="244" spans="1:8" x14ac:dyDescent="0.3">
      <c r="A244" s="2">
        <v>46027</v>
      </c>
      <c r="B244" t="s">
        <v>12</v>
      </c>
      <c r="C244" t="s">
        <v>19</v>
      </c>
      <c r="D244" t="s">
        <v>17</v>
      </c>
      <c r="E244" t="s">
        <v>28</v>
      </c>
      <c r="F244" t="s">
        <v>264</v>
      </c>
      <c r="G244">
        <v>10.048400000000001</v>
      </c>
      <c r="H244" t="str">
        <f t="shared" si="4"/>
        <v>ok</v>
      </c>
    </row>
    <row r="245" spans="1:8" x14ac:dyDescent="0.3">
      <c r="A245" s="2">
        <v>46027</v>
      </c>
      <c r="B245" t="s">
        <v>12</v>
      </c>
      <c r="C245" t="s">
        <v>19</v>
      </c>
      <c r="D245" t="s">
        <v>13</v>
      </c>
      <c r="E245" t="s">
        <v>21</v>
      </c>
      <c r="F245" t="s">
        <v>265</v>
      </c>
      <c r="G245">
        <v>10.0305</v>
      </c>
      <c r="H245" t="str">
        <f t="shared" si="4"/>
        <v>ok</v>
      </c>
    </row>
    <row r="246" spans="1:8" x14ac:dyDescent="0.3">
      <c r="A246" s="2">
        <v>46027</v>
      </c>
      <c r="B246" t="s">
        <v>12</v>
      </c>
      <c r="C246" t="s">
        <v>16</v>
      </c>
      <c r="D246" t="s">
        <v>9</v>
      </c>
      <c r="E246" t="s">
        <v>36</v>
      </c>
      <c r="F246" t="s">
        <v>266</v>
      </c>
      <c r="G246">
        <v>10.0282</v>
      </c>
      <c r="H246" t="str">
        <f t="shared" si="4"/>
        <v>ok</v>
      </c>
    </row>
    <row r="247" spans="1:8" x14ac:dyDescent="0.3">
      <c r="A247" s="2">
        <v>46027</v>
      </c>
      <c r="B247" t="s">
        <v>12</v>
      </c>
      <c r="C247" t="s">
        <v>8</v>
      </c>
      <c r="D247" t="s">
        <v>34</v>
      </c>
      <c r="E247" t="s">
        <v>21</v>
      </c>
      <c r="F247" t="s">
        <v>267</v>
      </c>
      <c r="G247">
        <v>9.9739000000000004</v>
      </c>
      <c r="H247" t="str">
        <f t="shared" si="4"/>
        <v>ok</v>
      </c>
    </row>
    <row r="248" spans="1:8" x14ac:dyDescent="0.3">
      <c r="A248" s="2">
        <v>46027</v>
      </c>
      <c r="B248" t="s">
        <v>7</v>
      </c>
      <c r="C248" t="s">
        <v>19</v>
      </c>
      <c r="D248" t="s">
        <v>17</v>
      </c>
      <c r="E248" t="s">
        <v>36</v>
      </c>
      <c r="F248" t="s">
        <v>268</v>
      </c>
      <c r="G248">
        <v>10.026300000000001</v>
      </c>
      <c r="H248" t="str">
        <f t="shared" si="4"/>
        <v>ok</v>
      </c>
    </row>
    <row r="249" spans="1:8" x14ac:dyDescent="0.3">
      <c r="A249" s="2">
        <v>46027</v>
      </c>
      <c r="B249" t="s">
        <v>23</v>
      </c>
      <c r="C249" t="s">
        <v>19</v>
      </c>
      <c r="D249" t="s">
        <v>17</v>
      </c>
      <c r="E249" t="s">
        <v>14</v>
      </c>
      <c r="F249" t="s">
        <v>269</v>
      </c>
      <c r="G249">
        <v>9.9997000000000007</v>
      </c>
      <c r="H249" t="str">
        <f t="shared" si="4"/>
        <v>ok</v>
      </c>
    </row>
    <row r="250" spans="1:8" x14ac:dyDescent="0.3">
      <c r="A250" s="2">
        <v>46027</v>
      </c>
      <c r="B250" t="s">
        <v>7</v>
      </c>
      <c r="C250" t="s">
        <v>19</v>
      </c>
      <c r="D250" t="s">
        <v>13</v>
      </c>
      <c r="E250" t="s">
        <v>10</v>
      </c>
      <c r="F250" t="s">
        <v>270</v>
      </c>
      <c r="G250">
        <v>10.0007</v>
      </c>
      <c r="H250" t="str">
        <f t="shared" si="4"/>
        <v>ok</v>
      </c>
    </row>
    <row r="251" spans="1:8" x14ac:dyDescent="0.3">
      <c r="A251" s="2">
        <v>46027</v>
      </c>
      <c r="B251" t="s">
        <v>7</v>
      </c>
      <c r="C251" t="s">
        <v>19</v>
      </c>
      <c r="D251" t="s">
        <v>9</v>
      </c>
      <c r="E251" t="s">
        <v>21</v>
      </c>
      <c r="F251" t="s">
        <v>271</v>
      </c>
      <c r="G251">
        <v>9.9795999999999996</v>
      </c>
      <c r="H251" t="str">
        <f t="shared" si="4"/>
        <v>ok</v>
      </c>
    </row>
    <row r="252" spans="1:8" x14ac:dyDescent="0.3">
      <c r="A252" s="2">
        <v>46028</v>
      </c>
      <c r="B252" t="s">
        <v>7</v>
      </c>
      <c r="C252" t="s">
        <v>8</v>
      </c>
      <c r="D252" t="s">
        <v>17</v>
      </c>
      <c r="E252" t="s">
        <v>14</v>
      </c>
      <c r="F252" t="s">
        <v>272</v>
      </c>
      <c r="G252">
        <v>9.9992000000000001</v>
      </c>
      <c r="H252" t="str">
        <f t="shared" si="4"/>
        <v>ok</v>
      </c>
    </row>
    <row r="253" spans="1:8" x14ac:dyDescent="0.3">
      <c r="A253" s="2">
        <v>46028</v>
      </c>
      <c r="B253" t="s">
        <v>23</v>
      </c>
      <c r="C253" t="s">
        <v>8</v>
      </c>
      <c r="D253" t="s">
        <v>13</v>
      </c>
      <c r="E253" t="s">
        <v>14</v>
      </c>
      <c r="F253" t="s">
        <v>273</v>
      </c>
      <c r="G253">
        <v>9.9696999999999996</v>
      </c>
      <c r="H253" t="str">
        <f t="shared" si="4"/>
        <v>ok</v>
      </c>
    </row>
    <row r="254" spans="1:8" x14ac:dyDescent="0.3">
      <c r="A254" s="2">
        <v>46028</v>
      </c>
      <c r="B254" t="s">
        <v>12</v>
      </c>
      <c r="C254" t="s">
        <v>8</v>
      </c>
      <c r="D254" t="s">
        <v>34</v>
      </c>
      <c r="E254" t="s">
        <v>28</v>
      </c>
      <c r="F254" t="s">
        <v>274</v>
      </c>
      <c r="G254">
        <v>9.9382000000000001</v>
      </c>
      <c r="H254" t="str">
        <f t="shared" si="4"/>
        <v>Defect</v>
      </c>
    </row>
    <row r="255" spans="1:8" x14ac:dyDescent="0.3">
      <c r="A255" s="2">
        <v>46028</v>
      </c>
      <c r="B255" t="s">
        <v>12</v>
      </c>
      <c r="C255" t="s">
        <v>16</v>
      </c>
      <c r="D255" t="s">
        <v>13</v>
      </c>
      <c r="E255" t="s">
        <v>28</v>
      </c>
      <c r="F255" t="s">
        <v>275</v>
      </c>
      <c r="G255">
        <v>9.9985999999999997</v>
      </c>
      <c r="H255" t="str">
        <f t="shared" si="4"/>
        <v>ok</v>
      </c>
    </row>
    <row r="256" spans="1:8" x14ac:dyDescent="0.3">
      <c r="A256" s="2">
        <v>46028</v>
      </c>
      <c r="B256" t="s">
        <v>7</v>
      </c>
      <c r="C256" t="s">
        <v>8</v>
      </c>
      <c r="D256" t="s">
        <v>13</v>
      </c>
      <c r="E256" t="s">
        <v>28</v>
      </c>
      <c r="F256" t="s">
        <v>276</v>
      </c>
      <c r="G256">
        <v>9.9936000000000007</v>
      </c>
      <c r="H256" t="str">
        <f t="shared" si="4"/>
        <v>ok</v>
      </c>
    </row>
    <row r="257" spans="1:8" x14ac:dyDescent="0.3">
      <c r="A257" s="2">
        <v>46028</v>
      </c>
      <c r="B257" t="s">
        <v>23</v>
      </c>
      <c r="C257" t="s">
        <v>8</v>
      </c>
      <c r="D257" t="s">
        <v>34</v>
      </c>
      <c r="E257" t="s">
        <v>36</v>
      </c>
      <c r="F257" t="s">
        <v>277</v>
      </c>
      <c r="G257">
        <v>10.0138</v>
      </c>
      <c r="H257" t="str">
        <f t="shared" si="4"/>
        <v>ok</v>
      </c>
    </row>
    <row r="258" spans="1:8" x14ac:dyDescent="0.3">
      <c r="A258" s="2">
        <v>46028</v>
      </c>
      <c r="B258" t="s">
        <v>23</v>
      </c>
      <c r="C258" t="s">
        <v>19</v>
      </c>
      <c r="D258" t="s">
        <v>34</v>
      </c>
      <c r="E258" t="s">
        <v>14</v>
      </c>
      <c r="F258" t="s">
        <v>278</v>
      </c>
      <c r="G258">
        <v>10.0198</v>
      </c>
      <c r="H258" t="str">
        <f t="shared" si="4"/>
        <v>ok</v>
      </c>
    </row>
    <row r="259" spans="1:8" x14ac:dyDescent="0.3">
      <c r="A259" s="2">
        <v>46028</v>
      </c>
      <c r="B259" t="s">
        <v>7</v>
      </c>
      <c r="C259" t="s">
        <v>16</v>
      </c>
      <c r="D259" t="s">
        <v>17</v>
      </c>
      <c r="E259" t="s">
        <v>10</v>
      </c>
      <c r="F259" t="s">
        <v>279</v>
      </c>
      <c r="G259">
        <v>9.9459</v>
      </c>
      <c r="H259" t="str">
        <f t="shared" si="4"/>
        <v>Defect</v>
      </c>
    </row>
    <row r="260" spans="1:8" x14ac:dyDescent="0.3">
      <c r="A260" s="2">
        <v>46028</v>
      </c>
      <c r="B260" t="s">
        <v>7</v>
      </c>
      <c r="C260" t="s">
        <v>19</v>
      </c>
      <c r="D260" t="s">
        <v>34</v>
      </c>
      <c r="E260" t="s">
        <v>10</v>
      </c>
      <c r="F260" t="s">
        <v>280</v>
      </c>
      <c r="G260">
        <v>10.0253</v>
      </c>
      <c r="H260" t="str">
        <f t="shared" si="4"/>
        <v>ok</v>
      </c>
    </row>
    <row r="261" spans="1:8" x14ac:dyDescent="0.3">
      <c r="A261" s="2">
        <v>46028</v>
      </c>
      <c r="B261" t="s">
        <v>12</v>
      </c>
      <c r="C261" t="s">
        <v>19</v>
      </c>
      <c r="D261" t="s">
        <v>9</v>
      </c>
      <c r="E261" t="s">
        <v>14</v>
      </c>
      <c r="F261" t="s">
        <v>281</v>
      </c>
      <c r="G261">
        <v>10.0602</v>
      </c>
      <c r="H261" t="str">
        <f t="shared" si="4"/>
        <v>ok</v>
      </c>
    </row>
    <row r="262" spans="1:8" x14ac:dyDescent="0.3">
      <c r="A262" s="2">
        <v>46028</v>
      </c>
      <c r="B262" t="s">
        <v>12</v>
      </c>
      <c r="C262" t="s">
        <v>8</v>
      </c>
      <c r="D262" t="s">
        <v>13</v>
      </c>
      <c r="E262" t="s">
        <v>36</v>
      </c>
      <c r="F262" t="s">
        <v>282</v>
      </c>
      <c r="G262">
        <v>9.9708000000000006</v>
      </c>
      <c r="H262" t="str">
        <f t="shared" ref="H262:H325" si="5">IF(OR(G262&gt;10.5,G262&lt;9.95),"Defect","ok")</f>
        <v>ok</v>
      </c>
    </row>
    <row r="263" spans="1:8" x14ac:dyDescent="0.3">
      <c r="A263" s="2">
        <v>46028</v>
      </c>
      <c r="B263" t="s">
        <v>7</v>
      </c>
      <c r="C263" t="s">
        <v>16</v>
      </c>
      <c r="D263" t="s">
        <v>13</v>
      </c>
      <c r="E263" t="s">
        <v>10</v>
      </c>
      <c r="F263" t="s">
        <v>283</v>
      </c>
      <c r="G263">
        <v>10.003500000000001</v>
      </c>
      <c r="H263" t="str">
        <f t="shared" si="5"/>
        <v>ok</v>
      </c>
    </row>
    <row r="264" spans="1:8" x14ac:dyDescent="0.3">
      <c r="A264" s="2">
        <v>46028</v>
      </c>
      <c r="B264" t="s">
        <v>23</v>
      </c>
      <c r="C264" t="s">
        <v>16</v>
      </c>
      <c r="D264" t="s">
        <v>9</v>
      </c>
      <c r="E264" t="s">
        <v>28</v>
      </c>
      <c r="F264" t="s">
        <v>284</v>
      </c>
      <c r="G264">
        <v>9.9931000000000001</v>
      </c>
      <c r="H264" t="str">
        <f t="shared" si="5"/>
        <v>ok</v>
      </c>
    </row>
    <row r="265" spans="1:8" x14ac:dyDescent="0.3">
      <c r="A265" s="2">
        <v>46028</v>
      </c>
      <c r="B265" t="s">
        <v>12</v>
      </c>
      <c r="C265" t="s">
        <v>19</v>
      </c>
      <c r="D265" t="s">
        <v>17</v>
      </c>
      <c r="E265" t="s">
        <v>14</v>
      </c>
      <c r="F265" t="s">
        <v>285</v>
      </c>
      <c r="G265">
        <v>9.9745000000000008</v>
      </c>
      <c r="H265" t="str">
        <f t="shared" si="5"/>
        <v>ok</v>
      </c>
    </row>
    <row r="266" spans="1:8" x14ac:dyDescent="0.3">
      <c r="A266" s="2">
        <v>46028</v>
      </c>
      <c r="B266" t="s">
        <v>12</v>
      </c>
      <c r="C266" t="s">
        <v>16</v>
      </c>
      <c r="D266" t="s">
        <v>13</v>
      </c>
      <c r="E266" t="s">
        <v>10</v>
      </c>
      <c r="F266" t="s">
        <v>286</v>
      </c>
      <c r="G266">
        <v>10.030799999999999</v>
      </c>
      <c r="H266" t="str">
        <f t="shared" si="5"/>
        <v>ok</v>
      </c>
    </row>
    <row r="267" spans="1:8" x14ac:dyDescent="0.3">
      <c r="A267" s="2">
        <v>46028</v>
      </c>
      <c r="B267" t="s">
        <v>23</v>
      </c>
      <c r="C267" t="s">
        <v>19</v>
      </c>
      <c r="D267" t="s">
        <v>17</v>
      </c>
      <c r="E267" t="s">
        <v>28</v>
      </c>
      <c r="F267" t="s">
        <v>287</v>
      </c>
      <c r="G267">
        <v>10.0059</v>
      </c>
      <c r="H267" t="str">
        <f t="shared" si="5"/>
        <v>ok</v>
      </c>
    </row>
    <row r="268" spans="1:8" x14ac:dyDescent="0.3">
      <c r="A268" s="2">
        <v>46028</v>
      </c>
      <c r="B268" t="s">
        <v>7</v>
      </c>
      <c r="C268" t="s">
        <v>19</v>
      </c>
      <c r="D268" t="s">
        <v>9</v>
      </c>
      <c r="E268" t="s">
        <v>36</v>
      </c>
      <c r="F268" t="s">
        <v>288</v>
      </c>
      <c r="G268">
        <v>9.9949999999999992</v>
      </c>
      <c r="H268" t="str">
        <f t="shared" si="5"/>
        <v>ok</v>
      </c>
    </row>
    <row r="269" spans="1:8" x14ac:dyDescent="0.3">
      <c r="A269" s="2">
        <v>46028</v>
      </c>
      <c r="B269" t="s">
        <v>23</v>
      </c>
      <c r="C269" t="s">
        <v>19</v>
      </c>
      <c r="D269" t="s">
        <v>9</v>
      </c>
      <c r="E269" t="s">
        <v>28</v>
      </c>
      <c r="F269" t="s">
        <v>289</v>
      </c>
      <c r="G269">
        <v>9.9784000000000006</v>
      </c>
      <c r="H269" t="str">
        <f t="shared" si="5"/>
        <v>ok</v>
      </c>
    </row>
    <row r="270" spans="1:8" x14ac:dyDescent="0.3">
      <c r="A270" s="2">
        <v>46028</v>
      </c>
      <c r="B270" t="s">
        <v>7</v>
      </c>
      <c r="C270" t="s">
        <v>16</v>
      </c>
      <c r="D270" t="s">
        <v>9</v>
      </c>
      <c r="E270" t="s">
        <v>28</v>
      </c>
      <c r="F270" t="s">
        <v>290</v>
      </c>
      <c r="G270">
        <v>9.9954000000000001</v>
      </c>
      <c r="H270" t="str">
        <f t="shared" si="5"/>
        <v>ok</v>
      </c>
    </row>
    <row r="271" spans="1:8" x14ac:dyDescent="0.3">
      <c r="A271" s="2">
        <v>46028</v>
      </c>
      <c r="B271" t="s">
        <v>12</v>
      </c>
      <c r="C271" t="s">
        <v>16</v>
      </c>
      <c r="D271" t="s">
        <v>34</v>
      </c>
      <c r="E271" t="s">
        <v>10</v>
      </c>
      <c r="F271" t="s">
        <v>291</v>
      </c>
      <c r="G271">
        <v>10.034700000000001</v>
      </c>
      <c r="H271" t="str">
        <f t="shared" si="5"/>
        <v>ok</v>
      </c>
    </row>
    <row r="272" spans="1:8" x14ac:dyDescent="0.3">
      <c r="A272" s="2">
        <v>46028</v>
      </c>
      <c r="B272" t="s">
        <v>12</v>
      </c>
      <c r="C272" t="s">
        <v>16</v>
      </c>
      <c r="D272" t="s">
        <v>13</v>
      </c>
      <c r="E272" t="s">
        <v>10</v>
      </c>
      <c r="F272" t="s">
        <v>292</v>
      </c>
      <c r="G272">
        <v>10.0237</v>
      </c>
      <c r="H272" t="str">
        <f t="shared" si="5"/>
        <v>ok</v>
      </c>
    </row>
    <row r="273" spans="1:8" x14ac:dyDescent="0.3">
      <c r="A273" s="2">
        <v>46028</v>
      </c>
      <c r="B273" t="s">
        <v>23</v>
      </c>
      <c r="C273" t="s">
        <v>8</v>
      </c>
      <c r="D273" t="s">
        <v>34</v>
      </c>
      <c r="E273" t="s">
        <v>36</v>
      </c>
      <c r="F273" t="s">
        <v>293</v>
      </c>
      <c r="G273">
        <v>10.030099999999999</v>
      </c>
      <c r="H273" t="str">
        <f t="shared" si="5"/>
        <v>ok</v>
      </c>
    </row>
    <row r="274" spans="1:8" x14ac:dyDescent="0.3">
      <c r="A274" s="2">
        <v>46028</v>
      </c>
      <c r="B274" t="s">
        <v>23</v>
      </c>
      <c r="C274" t="s">
        <v>8</v>
      </c>
      <c r="D274" t="s">
        <v>17</v>
      </c>
      <c r="E274" t="s">
        <v>21</v>
      </c>
      <c r="F274" t="s">
        <v>294</v>
      </c>
      <c r="G274">
        <v>10.036199999999999</v>
      </c>
      <c r="H274" t="str">
        <f t="shared" si="5"/>
        <v>ok</v>
      </c>
    </row>
    <row r="275" spans="1:8" x14ac:dyDescent="0.3">
      <c r="A275" s="2">
        <v>46028</v>
      </c>
      <c r="B275" t="s">
        <v>7</v>
      </c>
      <c r="C275" t="s">
        <v>19</v>
      </c>
      <c r="D275" t="s">
        <v>17</v>
      </c>
      <c r="E275" t="s">
        <v>10</v>
      </c>
      <c r="F275" t="s">
        <v>295</v>
      </c>
      <c r="G275">
        <v>9.9994999999999994</v>
      </c>
      <c r="H275" t="str">
        <f t="shared" si="5"/>
        <v>ok</v>
      </c>
    </row>
    <row r="276" spans="1:8" x14ac:dyDescent="0.3">
      <c r="A276" s="2">
        <v>46028</v>
      </c>
      <c r="B276" t="s">
        <v>7</v>
      </c>
      <c r="C276" t="s">
        <v>16</v>
      </c>
      <c r="D276" t="s">
        <v>13</v>
      </c>
      <c r="E276" t="s">
        <v>21</v>
      </c>
      <c r="F276" t="s">
        <v>296</v>
      </c>
      <c r="G276">
        <v>9.9661000000000008</v>
      </c>
      <c r="H276" t="str">
        <f t="shared" si="5"/>
        <v>ok</v>
      </c>
    </row>
    <row r="277" spans="1:8" x14ac:dyDescent="0.3">
      <c r="A277" s="2">
        <v>46028</v>
      </c>
      <c r="B277" t="s">
        <v>12</v>
      </c>
      <c r="C277" t="s">
        <v>16</v>
      </c>
      <c r="D277" t="s">
        <v>17</v>
      </c>
      <c r="E277" t="s">
        <v>10</v>
      </c>
      <c r="F277" t="s">
        <v>297</v>
      </c>
      <c r="G277">
        <v>10.0321</v>
      </c>
      <c r="H277" t="str">
        <f t="shared" si="5"/>
        <v>ok</v>
      </c>
    </row>
    <row r="278" spans="1:8" x14ac:dyDescent="0.3">
      <c r="A278" s="2">
        <v>46028</v>
      </c>
      <c r="B278" t="s">
        <v>12</v>
      </c>
      <c r="C278" t="s">
        <v>8</v>
      </c>
      <c r="D278" t="s">
        <v>13</v>
      </c>
      <c r="E278" t="s">
        <v>36</v>
      </c>
      <c r="F278" t="s">
        <v>298</v>
      </c>
      <c r="G278">
        <v>10.073700000000001</v>
      </c>
      <c r="H278" t="str">
        <f t="shared" si="5"/>
        <v>ok</v>
      </c>
    </row>
    <row r="279" spans="1:8" x14ac:dyDescent="0.3">
      <c r="A279" s="2">
        <v>46028</v>
      </c>
      <c r="B279" t="s">
        <v>7</v>
      </c>
      <c r="C279" t="s">
        <v>16</v>
      </c>
      <c r="D279" t="s">
        <v>34</v>
      </c>
      <c r="E279" t="s">
        <v>36</v>
      </c>
      <c r="F279" t="s">
        <v>299</v>
      </c>
      <c r="G279">
        <v>10.0017</v>
      </c>
      <c r="H279" t="str">
        <f t="shared" si="5"/>
        <v>ok</v>
      </c>
    </row>
    <row r="280" spans="1:8" x14ac:dyDescent="0.3">
      <c r="A280" s="2">
        <v>46028</v>
      </c>
      <c r="B280" t="s">
        <v>23</v>
      </c>
      <c r="C280" t="s">
        <v>19</v>
      </c>
      <c r="D280" t="s">
        <v>17</v>
      </c>
      <c r="E280" t="s">
        <v>28</v>
      </c>
      <c r="F280" t="s">
        <v>300</v>
      </c>
      <c r="G280">
        <v>10.013</v>
      </c>
      <c r="H280" t="str">
        <f t="shared" si="5"/>
        <v>ok</v>
      </c>
    </row>
    <row r="281" spans="1:8" x14ac:dyDescent="0.3">
      <c r="A281" s="2">
        <v>46028</v>
      </c>
      <c r="B281" t="s">
        <v>23</v>
      </c>
      <c r="C281" t="s">
        <v>19</v>
      </c>
      <c r="D281" t="s">
        <v>34</v>
      </c>
      <c r="E281" t="s">
        <v>10</v>
      </c>
      <c r="F281" t="s">
        <v>301</v>
      </c>
      <c r="G281">
        <v>9.9954999999999998</v>
      </c>
      <c r="H281" t="str">
        <f t="shared" si="5"/>
        <v>ok</v>
      </c>
    </row>
    <row r="282" spans="1:8" x14ac:dyDescent="0.3">
      <c r="A282" s="2">
        <v>46028</v>
      </c>
      <c r="B282" t="s">
        <v>12</v>
      </c>
      <c r="C282" t="s">
        <v>8</v>
      </c>
      <c r="D282" t="s">
        <v>9</v>
      </c>
      <c r="E282" t="s">
        <v>21</v>
      </c>
      <c r="F282" t="s">
        <v>302</v>
      </c>
      <c r="G282">
        <v>10.0418</v>
      </c>
      <c r="H282" t="str">
        <f t="shared" si="5"/>
        <v>ok</v>
      </c>
    </row>
    <row r="283" spans="1:8" x14ac:dyDescent="0.3">
      <c r="A283" s="2">
        <v>46028</v>
      </c>
      <c r="B283" t="s">
        <v>7</v>
      </c>
      <c r="C283" t="s">
        <v>19</v>
      </c>
      <c r="D283" t="s">
        <v>17</v>
      </c>
      <c r="E283" t="s">
        <v>21</v>
      </c>
      <c r="F283" t="s">
        <v>303</v>
      </c>
      <c r="G283">
        <v>10.0313</v>
      </c>
      <c r="H283" t="str">
        <f t="shared" si="5"/>
        <v>ok</v>
      </c>
    </row>
    <row r="284" spans="1:8" x14ac:dyDescent="0.3">
      <c r="A284" s="2">
        <v>46028</v>
      </c>
      <c r="B284" t="s">
        <v>12</v>
      </c>
      <c r="C284" t="s">
        <v>8</v>
      </c>
      <c r="D284" t="s">
        <v>9</v>
      </c>
      <c r="E284" t="s">
        <v>28</v>
      </c>
      <c r="F284" t="s">
        <v>304</v>
      </c>
      <c r="G284">
        <v>9.9885000000000002</v>
      </c>
      <c r="H284" t="str">
        <f t="shared" si="5"/>
        <v>ok</v>
      </c>
    </row>
    <row r="285" spans="1:8" x14ac:dyDescent="0.3">
      <c r="A285" s="2">
        <v>46028</v>
      </c>
      <c r="B285" t="s">
        <v>7</v>
      </c>
      <c r="C285" t="s">
        <v>8</v>
      </c>
      <c r="D285" t="s">
        <v>17</v>
      </c>
      <c r="E285" t="s">
        <v>10</v>
      </c>
      <c r="F285" t="s">
        <v>305</v>
      </c>
      <c r="G285">
        <v>9.9962999999999997</v>
      </c>
      <c r="H285" t="str">
        <f t="shared" si="5"/>
        <v>ok</v>
      </c>
    </row>
    <row r="286" spans="1:8" x14ac:dyDescent="0.3">
      <c r="A286" s="2">
        <v>46028</v>
      </c>
      <c r="B286" t="s">
        <v>12</v>
      </c>
      <c r="C286" t="s">
        <v>16</v>
      </c>
      <c r="D286" t="s">
        <v>13</v>
      </c>
      <c r="E286" t="s">
        <v>36</v>
      </c>
      <c r="F286" t="s">
        <v>306</v>
      </c>
      <c r="G286">
        <v>9.9707000000000008</v>
      </c>
      <c r="H286" t="str">
        <f t="shared" si="5"/>
        <v>ok</v>
      </c>
    </row>
    <row r="287" spans="1:8" x14ac:dyDescent="0.3">
      <c r="A287" s="2">
        <v>46028</v>
      </c>
      <c r="B287" t="s">
        <v>12</v>
      </c>
      <c r="C287" t="s">
        <v>16</v>
      </c>
      <c r="D287" t="s">
        <v>13</v>
      </c>
      <c r="E287" t="s">
        <v>14</v>
      </c>
      <c r="F287" t="s">
        <v>307</v>
      </c>
      <c r="G287">
        <v>10.0055</v>
      </c>
      <c r="H287" t="str">
        <f t="shared" si="5"/>
        <v>ok</v>
      </c>
    </row>
    <row r="288" spans="1:8" x14ac:dyDescent="0.3">
      <c r="A288" s="2">
        <v>46028</v>
      </c>
      <c r="B288" t="s">
        <v>7</v>
      </c>
      <c r="C288" t="s">
        <v>19</v>
      </c>
      <c r="D288" t="s">
        <v>17</v>
      </c>
      <c r="E288" t="s">
        <v>36</v>
      </c>
      <c r="F288" t="s">
        <v>308</v>
      </c>
      <c r="G288">
        <v>10.0267</v>
      </c>
      <c r="H288" t="str">
        <f t="shared" si="5"/>
        <v>ok</v>
      </c>
    </row>
    <row r="289" spans="1:8" x14ac:dyDescent="0.3">
      <c r="A289" s="2">
        <v>46028</v>
      </c>
      <c r="B289" t="s">
        <v>23</v>
      </c>
      <c r="C289" t="s">
        <v>19</v>
      </c>
      <c r="D289" t="s">
        <v>34</v>
      </c>
      <c r="E289" t="s">
        <v>10</v>
      </c>
      <c r="F289" t="s">
        <v>309</v>
      </c>
      <c r="G289">
        <v>9.9859000000000009</v>
      </c>
      <c r="H289" t="str">
        <f t="shared" si="5"/>
        <v>ok</v>
      </c>
    </row>
    <row r="290" spans="1:8" x14ac:dyDescent="0.3">
      <c r="A290" s="2">
        <v>46028</v>
      </c>
      <c r="B290" t="s">
        <v>12</v>
      </c>
      <c r="C290" t="s">
        <v>16</v>
      </c>
      <c r="D290" t="s">
        <v>34</v>
      </c>
      <c r="E290" t="s">
        <v>28</v>
      </c>
      <c r="F290" t="s">
        <v>310</v>
      </c>
      <c r="G290">
        <v>10.0158</v>
      </c>
      <c r="H290" t="str">
        <f t="shared" si="5"/>
        <v>ok</v>
      </c>
    </row>
    <row r="291" spans="1:8" x14ac:dyDescent="0.3">
      <c r="A291" s="2">
        <v>46028</v>
      </c>
      <c r="B291" t="s">
        <v>7</v>
      </c>
      <c r="C291" t="s">
        <v>19</v>
      </c>
      <c r="D291" t="s">
        <v>34</v>
      </c>
      <c r="E291" t="s">
        <v>28</v>
      </c>
      <c r="F291" t="s">
        <v>311</v>
      </c>
      <c r="G291">
        <v>10.036899999999999</v>
      </c>
      <c r="H291" t="str">
        <f t="shared" si="5"/>
        <v>ok</v>
      </c>
    </row>
    <row r="292" spans="1:8" x14ac:dyDescent="0.3">
      <c r="A292" s="2">
        <v>46028</v>
      </c>
      <c r="B292" t="s">
        <v>23</v>
      </c>
      <c r="C292" t="s">
        <v>8</v>
      </c>
      <c r="D292" t="s">
        <v>13</v>
      </c>
      <c r="E292" t="s">
        <v>10</v>
      </c>
      <c r="F292" t="s">
        <v>312</v>
      </c>
      <c r="G292">
        <v>9.9651999999999994</v>
      </c>
      <c r="H292" t="str">
        <f t="shared" si="5"/>
        <v>ok</v>
      </c>
    </row>
    <row r="293" spans="1:8" x14ac:dyDescent="0.3">
      <c r="A293" s="2">
        <v>46028</v>
      </c>
      <c r="B293" t="s">
        <v>12</v>
      </c>
      <c r="C293" t="s">
        <v>19</v>
      </c>
      <c r="D293" t="s">
        <v>17</v>
      </c>
      <c r="E293" t="s">
        <v>36</v>
      </c>
      <c r="F293" t="s">
        <v>313</v>
      </c>
      <c r="G293">
        <v>9.9901999999999997</v>
      </c>
      <c r="H293" t="str">
        <f t="shared" si="5"/>
        <v>ok</v>
      </c>
    </row>
    <row r="294" spans="1:8" x14ac:dyDescent="0.3">
      <c r="A294" s="2">
        <v>46028</v>
      </c>
      <c r="B294" t="s">
        <v>12</v>
      </c>
      <c r="C294" t="s">
        <v>19</v>
      </c>
      <c r="D294" t="s">
        <v>17</v>
      </c>
      <c r="E294" t="s">
        <v>28</v>
      </c>
      <c r="F294" t="s">
        <v>314</v>
      </c>
      <c r="G294">
        <v>10.0807</v>
      </c>
      <c r="H294" t="str">
        <f t="shared" si="5"/>
        <v>ok</v>
      </c>
    </row>
    <row r="295" spans="1:8" x14ac:dyDescent="0.3">
      <c r="A295" s="2">
        <v>46028</v>
      </c>
      <c r="B295" t="s">
        <v>23</v>
      </c>
      <c r="C295" t="s">
        <v>19</v>
      </c>
      <c r="D295" t="s">
        <v>34</v>
      </c>
      <c r="E295" t="s">
        <v>28</v>
      </c>
      <c r="F295" t="s">
        <v>315</v>
      </c>
      <c r="G295">
        <v>10.028</v>
      </c>
      <c r="H295" t="str">
        <f t="shared" si="5"/>
        <v>ok</v>
      </c>
    </row>
    <row r="296" spans="1:8" x14ac:dyDescent="0.3">
      <c r="A296" s="2">
        <v>46028</v>
      </c>
      <c r="B296" t="s">
        <v>23</v>
      </c>
      <c r="C296" t="s">
        <v>8</v>
      </c>
      <c r="D296" t="s">
        <v>34</v>
      </c>
      <c r="E296" t="s">
        <v>14</v>
      </c>
      <c r="F296" t="s">
        <v>316</v>
      </c>
      <c r="G296">
        <v>9.9717000000000002</v>
      </c>
      <c r="H296" t="str">
        <f t="shared" si="5"/>
        <v>ok</v>
      </c>
    </row>
    <row r="297" spans="1:8" x14ac:dyDescent="0.3">
      <c r="A297" s="2">
        <v>46028</v>
      </c>
      <c r="B297" t="s">
        <v>12</v>
      </c>
      <c r="C297" t="s">
        <v>8</v>
      </c>
      <c r="D297" t="s">
        <v>9</v>
      </c>
      <c r="E297" t="s">
        <v>36</v>
      </c>
      <c r="F297" t="s">
        <v>317</v>
      </c>
      <c r="G297">
        <v>10.0184</v>
      </c>
      <c r="H297" t="str">
        <f t="shared" si="5"/>
        <v>ok</v>
      </c>
    </row>
    <row r="298" spans="1:8" x14ac:dyDescent="0.3">
      <c r="A298" s="2">
        <v>46028</v>
      </c>
      <c r="B298" t="s">
        <v>7</v>
      </c>
      <c r="C298" t="s">
        <v>19</v>
      </c>
      <c r="D298" t="s">
        <v>9</v>
      </c>
      <c r="E298" t="s">
        <v>14</v>
      </c>
      <c r="F298" t="s">
        <v>318</v>
      </c>
      <c r="G298">
        <v>10.004200000000001</v>
      </c>
      <c r="H298" t="str">
        <f t="shared" si="5"/>
        <v>ok</v>
      </c>
    </row>
    <row r="299" spans="1:8" x14ac:dyDescent="0.3">
      <c r="A299" s="2">
        <v>46028</v>
      </c>
      <c r="B299" t="s">
        <v>12</v>
      </c>
      <c r="C299" t="s">
        <v>19</v>
      </c>
      <c r="D299" t="s">
        <v>17</v>
      </c>
      <c r="E299" t="s">
        <v>21</v>
      </c>
      <c r="F299" t="s">
        <v>319</v>
      </c>
      <c r="G299">
        <v>10.031599999999999</v>
      </c>
      <c r="H299" t="str">
        <f t="shared" si="5"/>
        <v>ok</v>
      </c>
    </row>
    <row r="300" spans="1:8" x14ac:dyDescent="0.3">
      <c r="A300" s="2">
        <v>46028</v>
      </c>
      <c r="B300" t="s">
        <v>23</v>
      </c>
      <c r="C300" t="s">
        <v>16</v>
      </c>
      <c r="D300" t="s">
        <v>9</v>
      </c>
      <c r="E300" t="s">
        <v>36</v>
      </c>
      <c r="F300" t="s">
        <v>320</v>
      </c>
      <c r="G300">
        <v>10.0039</v>
      </c>
      <c r="H300" t="str">
        <f t="shared" si="5"/>
        <v>ok</v>
      </c>
    </row>
    <row r="301" spans="1:8" x14ac:dyDescent="0.3">
      <c r="A301" s="2">
        <v>46028</v>
      </c>
      <c r="B301" t="s">
        <v>12</v>
      </c>
      <c r="C301" t="s">
        <v>16</v>
      </c>
      <c r="D301" t="s">
        <v>13</v>
      </c>
      <c r="E301" t="s">
        <v>28</v>
      </c>
      <c r="F301" t="s">
        <v>321</v>
      </c>
      <c r="G301">
        <v>10.036</v>
      </c>
      <c r="H301" t="str">
        <f t="shared" si="5"/>
        <v>ok</v>
      </c>
    </row>
    <row r="302" spans="1:8" x14ac:dyDescent="0.3">
      <c r="A302" s="2">
        <v>46029</v>
      </c>
      <c r="B302" t="s">
        <v>7</v>
      </c>
      <c r="C302" t="s">
        <v>8</v>
      </c>
      <c r="D302" t="s">
        <v>17</v>
      </c>
      <c r="E302" t="s">
        <v>10</v>
      </c>
      <c r="F302" t="s">
        <v>322</v>
      </c>
      <c r="G302">
        <v>10.0184</v>
      </c>
      <c r="H302" t="str">
        <f t="shared" si="5"/>
        <v>ok</v>
      </c>
    </row>
    <row r="303" spans="1:8" x14ac:dyDescent="0.3">
      <c r="A303" s="2">
        <v>46029</v>
      </c>
      <c r="B303" t="s">
        <v>7</v>
      </c>
      <c r="C303" t="s">
        <v>19</v>
      </c>
      <c r="D303" t="s">
        <v>34</v>
      </c>
      <c r="E303" t="s">
        <v>28</v>
      </c>
      <c r="F303" t="s">
        <v>323</v>
      </c>
      <c r="G303">
        <v>10.004300000000001</v>
      </c>
      <c r="H303" t="str">
        <f t="shared" si="5"/>
        <v>ok</v>
      </c>
    </row>
    <row r="304" spans="1:8" x14ac:dyDescent="0.3">
      <c r="A304" s="2">
        <v>46029</v>
      </c>
      <c r="B304" t="s">
        <v>7</v>
      </c>
      <c r="C304" t="s">
        <v>16</v>
      </c>
      <c r="D304" t="s">
        <v>34</v>
      </c>
      <c r="E304" t="s">
        <v>14</v>
      </c>
      <c r="F304" t="s">
        <v>324</v>
      </c>
      <c r="G304">
        <v>10.0412</v>
      </c>
      <c r="H304" t="str">
        <f t="shared" si="5"/>
        <v>ok</v>
      </c>
    </row>
    <row r="305" spans="1:8" x14ac:dyDescent="0.3">
      <c r="A305" s="2">
        <v>46029</v>
      </c>
      <c r="B305" t="s">
        <v>12</v>
      </c>
      <c r="C305" t="s">
        <v>16</v>
      </c>
      <c r="D305" t="s">
        <v>13</v>
      </c>
      <c r="E305" t="s">
        <v>21</v>
      </c>
      <c r="F305" t="s">
        <v>325</v>
      </c>
      <c r="G305">
        <v>10.042999999999999</v>
      </c>
      <c r="H305" t="str">
        <f t="shared" si="5"/>
        <v>ok</v>
      </c>
    </row>
    <row r="306" spans="1:8" x14ac:dyDescent="0.3">
      <c r="A306" s="2">
        <v>46029</v>
      </c>
      <c r="B306" t="s">
        <v>12</v>
      </c>
      <c r="C306" t="s">
        <v>19</v>
      </c>
      <c r="D306" t="s">
        <v>13</v>
      </c>
      <c r="E306" t="s">
        <v>36</v>
      </c>
      <c r="F306" t="s">
        <v>326</v>
      </c>
      <c r="G306">
        <v>10.017200000000001</v>
      </c>
      <c r="H306" t="str">
        <f t="shared" si="5"/>
        <v>ok</v>
      </c>
    </row>
    <row r="307" spans="1:8" x14ac:dyDescent="0.3">
      <c r="A307" s="2">
        <v>46029</v>
      </c>
      <c r="B307" t="s">
        <v>12</v>
      </c>
      <c r="C307" t="s">
        <v>16</v>
      </c>
      <c r="D307" t="s">
        <v>13</v>
      </c>
      <c r="E307" t="s">
        <v>36</v>
      </c>
      <c r="F307" t="s">
        <v>327</v>
      </c>
      <c r="G307">
        <v>9.9832000000000001</v>
      </c>
      <c r="H307" t="str">
        <f t="shared" si="5"/>
        <v>ok</v>
      </c>
    </row>
    <row r="308" spans="1:8" x14ac:dyDescent="0.3">
      <c r="A308" s="2">
        <v>46029</v>
      </c>
      <c r="B308" t="s">
        <v>23</v>
      </c>
      <c r="C308" t="s">
        <v>16</v>
      </c>
      <c r="D308" t="s">
        <v>13</v>
      </c>
      <c r="E308" t="s">
        <v>10</v>
      </c>
      <c r="F308" t="s">
        <v>328</v>
      </c>
      <c r="G308">
        <v>10.0032</v>
      </c>
      <c r="H308" t="str">
        <f t="shared" si="5"/>
        <v>ok</v>
      </c>
    </row>
    <row r="309" spans="1:8" x14ac:dyDescent="0.3">
      <c r="A309" s="2">
        <v>46029</v>
      </c>
      <c r="B309" t="s">
        <v>7</v>
      </c>
      <c r="C309" t="s">
        <v>16</v>
      </c>
      <c r="D309" t="s">
        <v>34</v>
      </c>
      <c r="E309" t="s">
        <v>21</v>
      </c>
      <c r="F309" t="s">
        <v>329</v>
      </c>
      <c r="G309">
        <v>10.0169</v>
      </c>
      <c r="H309" t="str">
        <f t="shared" si="5"/>
        <v>ok</v>
      </c>
    </row>
    <row r="310" spans="1:8" x14ac:dyDescent="0.3">
      <c r="A310" s="2">
        <v>46029</v>
      </c>
      <c r="B310" t="s">
        <v>23</v>
      </c>
      <c r="C310" t="s">
        <v>19</v>
      </c>
      <c r="D310" t="s">
        <v>9</v>
      </c>
      <c r="E310" t="s">
        <v>28</v>
      </c>
      <c r="F310" t="s">
        <v>330</v>
      </c>
      <c r="G310">
        <v>9.9977999999999998</v>
      </c>
      <c r="H310" t="str">
        <f t="shared" si="5"/>
        <v>ok</v>
      </c>
    </row>
    <row r="311" spans="1:8" x14ac:dyDescent="0.3">
      <c r="A311" s="2">
        <v>46029</v>
      </c>
      <c r="B311" t="s">
        <v>12</v>
      </c>
      <c r="C311" t="s">
        <v>8</v>
      </c>
      <c r="D311" t="s">
        <v>9</v>
      </c>
      <c r="E311" t="s">
        <v>28</v>
      </c>
      <c r="F311" t="s">
        <v>331</v>
      </c>
      <c r="G311">
        <v>10.066000000000001</v>
      </c>
      <c r="H311" t="str">
        <f t="shared" si="5"/>
        <v>ok</v>
      </c>
    </row>
    <row r="312" spans="1:8" x14ac:dyDescent="0.3">
      <c r="A312" s="2">
        <v>46029</v>
      </c>
      <c r="B312" t="s">
        <v>7</v>
      </c>
      <c r="C312" t="s">
        <v>16</v>
      </c>
      <c r="D312" t="s">
        <v>17</v>
      </c>
      <c r="E312" t="s">
        <v>14</v>
      </c>
      <c r="F312" t="s">
        <v>332</v>
      </c>
      <c r="G312">
        <v>10.030900000000001</v>
      </c>
      <c r="H312" t="str">
        <f t="shared" si="5"/>
        <v>ok</v>
      </c>
    </row>
    <row r="313" spans="1:8" x14ac:dyDescent="0.3">
      <c r="A313" s="2">
        <v>46029</v>
      </c>
      <c r="B313" t="s">
        <v>23</v>
      </c>
      <c r="C313" t="s">
        <v>19</v>
      </c>
      <c r="D313" t="s">
        <v>9</v>
      </c>
      <c r="E313" t="s">
        <v>36</v>
      </c>
      <c r="F313" t="s">
        <v>333</v>
      </c>
      <c r="G313">
        <v>9.9596999999999998</v>
      </c>
      <c r="H313" t="str">
        <f t="shared" si="5"/>
        <v>ok</v>
      </c>
    </row>
    <row r="314" spans="1:8" x14ac:dyDescent="0.3">
      <c r="A314" s="2">
        <v>46029</v>
      </c>
      <c r="B314" t="s">
        <v>12</v>
      </c>
      <c r="C314" t="s">
        <v>19</v>
      </c>
      <c r="D314" t="s">
        <v>34</v>
      </c>
      <c r="E314" t="s">
        <v>28</v>
      </c>
      <c r="F314" t="s">
        <v>334</v>
      </c>
      <c r="G314">
        <v>9.9992999999999999</v>
      </c>
      <c r="H314" t="str">
        <f t="shared" si="5"/>
        <v>ok</v>
      </c>
    </row>
    <row r="315" spans="1:8" x14ac:dyDescent="0.3">
      <c r="A315" s="2">
        <v>46029</v>
      </c>
      <c r="B315" t="s">
        <v>7</v>
      </c>
      <c r="C315" t="s">
        <v>8</v>
      </c>
      <c r="D315" t="s">
        <v>17</v>
      </c>
      <c r="E315" t="s">
        <v>36</v>
      </c>
      <c r="F315" t="s">
        <v>335</v>
      </c>
      <c r="G315">
        <v>10.0114</v>
      </c>
      <c r="H315" t="str">
        <f t="shared" si="5"/>
        <v>ok</v>
      </c>
    </row>
    <row r="316" spans="1:8" x14ac:dyDescent="0.3">
      <c r="A316" s="2">
        <v>46029</v>
      </c>
      <c r="B316" t="s">
        <v>12</v>
      </c>
      <c r="C316" t="s">
        <v>19</v>
      </c>
      <c r="D316" t="s">
        <v>13</v>
      </c>
      <c r="E316" t="s">
        <v>10</v>
      </c>
      <c r="F316" t="s">
        <v>336</v>
      </c>
      <c r="G316">
        <v>10.000299999999999</v>
      </c>
      <c r="H316" t="str">
        <f t="shared" si="5"/>
        <v>ok</v>
      </c>
    </row>
    <row r="317" spans="1:8" x14ac:dyDescent="0.3">
      <c r="A317" s="2">
        <v>46029</v>
      </c>
      <c r="B317" t="s">
        <v>23</v>
      </c>
      <c r="C317" t="s">
        <v>16</v>
      </c>
      <c r="D317" t="s">
        <v>34</v>
      </c>
      <c r="E317" t="s">
        <v>36</v>
      </c>
      <c r="F317" t="s">
        <v>337</v>
      </c>
      <c r="G317">
        <v>10.0069</v>
      </c>
      <c r="H317" t="str">
        <f t="shared" si="5"/>
        <v>ok</v>
      </c>
    </row>
    <row r="318" spans="1:8" x14ac:dyDescent="0.3">
      <c r="A318" s="2">
        <v>46029</v>
      </c>
      <c r="B318" t="s">
        <v>7</v>
      </c>
      <c r="C318" t="s">
        <v>19</v>
      </c>
      <c r="D318" t="s">
        <v>34</v>
      </c>
      <c r="E318" t="s">
        <v>14</v>
      </c>
      <c r="F318" t="s">
        <v>338</v>
      </c>
      <c r="G318">
        <v>9.9824000000000002</v>
      </c>
      <c r="H318" t="str">
        <f t="shared" si="5"/>
        <v>ok</v>
      </c>
    </row>
    <row r="319" spans="1:8" x14ac:dyDescent="0.3">
      <c r="A319" s="2">
        <v>46029</v>
      </c>
      <c r="B319" t="s">
        <v>7</v>
      </c>
      <c r="C319" t="s">
        <v>19</v>
      </c>
      <c r="D319" t="s">
        <v>34</v>
      </c>
      <c r="E319" t="s">
        <v>10</v>
      </c>
      <c r="F319" t="s">
        <v>339</v>
      </c>
      <c r="G319">
        <v>9.9994999999999994</v>
      </c>
      <c r="H319" t="str">
        <f t="shared" si="5"/>
        <v>ok</v>
      </c>
    </row>
    <row r="320" spans="1:8" x14ac:dyDescent="0.3">
      <c r="A320" s="2">
        <v>46029</v>
      </c>
      <c r="B320" t="s">
        <v>7</v>
      </c>
      <c r="C320" t="s">
        <v>19</v>
      </c>
      <c r="D320" t="s">
        <v>34</v>
      </c>
      <c r="E320" t="s">
        <v>28</v>
      </c>
      <c r="F320" t="s">
        <v>340</v>
      </c>
      <c r="G320">
        <v>9.9971999999999994</v>
      </c>
      <c r="H320" t="str">
        <f t="shared" si="5"/>
        <v>ok</v>
      </c>
    </row>
    <row r="321" spans="1:8" x14ac:dyDescent="0.3">
      <c r="A321" s="2">
        <v>46029</v>
      </c>
      <c r="B321" t="s">
        <v>12</v>
      </c>
      <c r="C321" t="s">
        <v>19</v>
      </c>
      <c r="D321" t="s">
        <v>34</v>
      </c>
      <c r="E321" t="s">
        <v>10</v>
      </c>
      <c r="F321" t="s">
        <v>341</v>
      </c>
      <c r="G321">
        <v>10.0184</v>
      </c>
      <c r="H321" t="str">
        <f t="shared" si="5"/>
        <v>ok</v>
      </c>
    </row>
    <row r="322" spans="1:8" x14ac:dyDescent="0.3">
      <c r="A322" s="2">
        <v>46029</v>
      </c>
      <c r="B322" t="s">
        <v>12</v>
      </c>
      <c r="C322" t="s">
        <v>16</v>
      </c>
      <c r="D322" t="s">
        <v>34</v>
      </c>
      <c r="E322" t="s">
        <v>10</v>
      </c>
      <c r="F322" t="s">
        <v>342</v>
      </c>
      <c r="G322">
        <v>9.9756999999999998</v>
      </c>
      <c r="H322" t="str">
        <f t="shared" si="5"/>
        <v>ok</v>
      </c>
    </row>
    <row r="323" spans="1:8" x14ac:dyDescent="0.3">
      <c r="A323" s="2">
        <v>46029</v>
      </c>
      <c r="B323" t="s">
        <v>12</v>
      </c>
      <c r="C323" t="s">
        <v>19</v>
      </c>
      <c r="D323" t="s">
        <v>17</v>
      </c>
      <c r="E323" t="s">
        <v>28</v>
      </c>
      <c r="F323" t="s">
        <v>343</v>
      </c>
      <c r="G323">
        <v>10.0634</v>
      </c>
      <c r="H323" t="str">
        <f t="shared" si="5"/>
        <v>ok</v>
      </c>
    </row>
    <row r="324" spans="1:8" x14ac:dyDescent="0.3">
      <c r="A324" s="2">
        <v>46029</v>
      </c>
      <c r="B324" t="s">
        <v>12</v>
      </c>
      <c r="C324" t="s">
        <v>16</v>
      </c>
      <c r="D324" t="s">
        <v>13</v>
      </c>
      <c r="E324" t="s">
        <v>14</v>
      </c>
      <c r="F324" t="s">
        <v>344</v>
      </c>
      <c r="G324">
        <v>10.0068</v>
      </c>
      <c r="H324" t="str">
        <f t="shared" si="5"/>
        <v>ok</v>
      </c>
    </row>
    <row r="325" spans="1:8" x14ac:dyDescent="0.3">
      <c r="A325" s="2">
        <v>46029</v>
      </c>
      <c r="B325" t="s">
        <v>12</v>
      </c>
      <c r="C325" t="s">
        <v>16</v>
      </c>
      <c r="D325" t="s">
        <v>13</v>
      </c>
      <c r="E325" t="s">
        <v>36</v>
      </c>
      <c r="F325" t="s">
        <v>345</v>
      </c>
      <c r="G325">
        <v>10.044</v>
      </c>
      <c r="H325" t="str">
        <f t="shared" si="5"/>
        <v>ok</v>
      </c>
    </row>
    <row r="326" spans="1:8" x14ac:dyDescent="0.3">
      <c r="A326" s="2">
        <v>46029</v>
      </c>
      <c r="B326" t="s">
        <v>7</v>
      </c>
      <c r="C326" t="s">
        <v>16</v>
      </c>
      <c r="D326" t="s">
        <v>34</v>
      </c>
      <c r="E326" t="s">
        <v>28</v>
      </c>
      <c r="F326" t="s">
        <v>346</v>
      </c>
      <c r="G326">
        <v>10.019500000000001</v>
      </c>
      <c r="H326" t="str">
        <f t="shared" ref="H326:H389" si="6">IF(OR(G326&gt;10.5,G326&lt;9.95),"Defect","ok")</f>
        <v>ok</v>
      </c>
    </row>
    <row r="327" spans="1:8" x14ac:dyDescent="0.3">
      <c r="A327" s="2">
        <v>46029</v>
      </c>
      <c r="B327" t="s">
        <v>23</v>
      </c>
      <c r="C327" t="s">
        <v>8</v>
      </c>
      <c r="D327" t="s">
        <v>13</v>
      </c>
      <c r="E327" t="s">
        <v>36</v>
      </c>
      <c r="F327" t="s">
        <v>347</v>
      </c>
      <c r="G327">
        <v>9.9901999999999997</v>
      </c>
      <c r="H327" t="str">
        <f t="shared" si="6"/>
        <v>ok</v>
      </c>
    </row>
    <row r="328" spans="1:8" x14ac:dyDescent="0.3">
      <c r="A328" s="2">
        <v>46029</v>
      </c>
      <c r="B328" t="s">
        <v>12</v>
      </c>
      <c r="C328" t="s">
        <v>16</v>
      </c>
      <c r="D328" t="s">
        <v>17</v>
      </c>
      <c r="E328" t="s">
        <v>21</v>
      </c>
      <c r="F328" t="s">
        <v>348</v>
      </c>
      <c r="G328">
        <v>10.040100000000001</v>
      </c>
      <c r="H328" t="str">
        <f t="shared" si="6"/>
        <v>ok</v>
      </c>
    </row>
    <row r="329" spans="1:8" x14ac:dyDescent="0.3">
      <c r="A329" s="2">
        <v>46029</v>
      </c>
      <c r="B329" t="s">
        <v>12</v>
      </c>
      <c r="C329" t="s">
        <v>8</v>
      </c>
      <c r="D329" t="s">
        <v>9</v>
      </c>
      <c r="E329" t="s">
        <v>36</v>
      </c>
      <c r="F329" t="s">
        <v>349</v>
      </c>
      <c r="G329">
        <v>9.9779</v>
      </c>
      <c r="H329" t="str">
        <f t="shared" si="6"/>
        <v>ok</v>
      </c>
    </row>
    <row r="330" spans="1:8" x14ac:dyDescent="0.3">
      <c r="A330" s="2">
        <v>46029</v>
      </c>
      <c r="B330" t="s">
        <v>7</v>
      </c>
      <c r="C330" t="s">
        <v>19</v>
      </c>
      <c r="D330" t="s">
        <v>13</v>
      </c>
      <c r="E330" t="s">
        <v>10</v>
      </c>
      <c r="F330" t="s">
        <v>350</v>
      </c>
      <c r="G330">
        <v>9.9728999999999992</v>
      </c>
      <c r="H330" t="str">
        <f t="shared" si="6"/>
        <v>ok</v>
      </c>
    </row>
    <row r="331" spans="1:8" x14ac:dyDescent="0.3">
      <c r="A331" s="2">
        <v>46029</v>
      </c>
      <c r="B331" t="s">
        <v>12</v>
      </c>
      <c r="C331" t="s">
        <v>19</v>
      </c>
      <c r="D331" t="s">
        <v>34</v>
      </c>
      <c r="E331" t="s">
        <v>28</v>
      </c>
      <c r="F331" t="s">
        <v>351</v>
      </c>
      <c r="G331">
        <v>10.026</v>
      </c>
      <c r="H331" t="str">
        <f t="shared" si="6"/>
        <v>ok</v>
      </c>
    </row>
    <row r="332" spans="1:8" x14ac:dyDescent="0.3">
      <c r="A332" s="2">
        <v>46029</v>
      </c>
      <c r="B332" t="s">
        <v>12</v>
      </c>
      <c r="C332" t="s">
        <v>8</v>
      </c>
      <c r="D332" t="s">
        <v>34</v>
      </c>
      <c r="E332" t="s">
        <v>14</v>
      </c>
      <c r="F332" t="s">
        <v>352</v>
      </c>
      <c r="G332">
        <v>10.0397</v>
      </c>
      <c r="H332" t="str">
        <f t="shared" si="6"/>
        <v>ok</v>
      </c>
    </row>
    <row r="333" spans="1:8" x14ac:dyDescent="0.3">
      <c r="A333" s="2">
        <v>46029</v>
      </c>
      <c r="B333" t="s">
        <v>23</v>
      </c>
      <c r="C333" t="s">
        <v>16</v>
      </c>
      <c r="D333" t="s">
        <v>9</v>
      </c>
      <c r="E333" t="s">
        <v>10</v>
      </c>
      <c r="F333" t="s">
        <v>353</v>
      </c>
      <c r="G333">
        <v>10.0006</v>
      </c>
      <c r="H333" t="str">
        <f t="shared" si="6"/>
        <v>ok</v>
      </c>
    </row>
    <row r="334" spans="1:8" x14ac:dyDescent="0.3">
      <c r="A334" s="2">
        <v>46029</v>
      </c>
      <c r="B334" t="s">
        <v>23</v>
      </c>
      <c r="C334" t="s">
        <v>19</v>
      </c>
      <c r="D334" t="s">
        <v>9</v>
      </c>
      <c r="E334" t="s">
        <v>10</v>
      </c>
      <c r="F334" t="s">
        <v>354</v>
      </c>
      <c r="G334">
        <v>9.9916</v>
      </c>
      <c r="H334" t="str">
        <f t="shared" si="6"/>
        <v>ok</v>
      </c>
    </row>
    <row r="335" spans="1:8" x14ac:dyDescent="0.3">
      <c r="A335" s="2">
        <v>46029</v>
      </c>
      <c r="B335" t="s">
        <v>7</v>
      </c>
      <c r="C335" t="s">
        <v>19</v>
      </c>
      <c r="D335" t="s">
        <v>17</v>
      </c>
      <c r="E335" t="s">
        <v>10</v>
      </c>
      <c r="F335" t="s">
        <v>355</v>
      </c>
      <c r="G335">
        <v>10.019600000000001</v>
      </c>
      <c r="H335" t="str">
        <f t="shared" si="6"/>
        <v>ok</v>
      </c>
    </row>
    <row r="336" spans="1:8" x14ac:dyDescent="0.3">
      <c r="A336" s="2">
        <v>46029</v>
      </c>
      <c r="B336" t="s">
        <v>23</v>
      </c>
      <c r="C336" t="s">
        <v>8</v>
      </c>
      <c r="D336" t="s">
        <v>9</v>
      </c>
      <c r="E336" t="s">
        <v>21</v>
      </c>
      <c r="F336" t="s">
        <v>356</v>
      </c>
      <c r="G336">
        <v>10.0025</v>
      </c>
      <c r="H336" t="str">
        <f t="shared" si="6"/>
        <v>ok</v>
      </c>
    </row>
    <row r="337" spans="1:8" x14ac:dyDescent="0.3">
      <c r="A337" s="2">
        <v>46029</v>
      </c>
      <c r="B337" t="s">
        <v>12</v>
      </c>
      <c r="C337" t="s">
        <v>16</v>
      </c>
      <c r="D337" t="s">
        <v>13</v>
      </c>
      <c r="E337" t="s">
        <v>28</v>
      </c>
      <c r="F337" t="s">
        <v>357</v>
      </c>
      <c r="G337">
        <v>10.069699999999999</v>
      </c>
      <c r="H337" t="str">
        <f t="shared" si="6"/>
        <v>ok</v>
      </c>
    </row>
    <row r="338" spans="1:8" x14ac:dyDescent="0.3">
      <c r="A338" s="2">
        <v>46029</v>
      </c>
      <c r="B338" t="s">
        <v>23</v>
      </c>
      <c r="C338" t="s">
        <v>8</v>
      </c>
      <c r="D338" t="s">
        <v>17</v>
      </c>
      <c r="E338" t="s">
        <v>10</v>
      </c>
      <c r="F338" t="s">
        <v>358</v>
      </c>
      <c r="G338">
        <v>9.9835999999999991</v>
      </c>
      <c r="H338" t="str">
        <f t="shared" si="6"/>
        <v>ok</v>
      </c>
    </row>
    <row r="339" spans="1:8" x14ac:dyDescent="0.3">
      <c r="A339" s="2">
        <v>46029</v>
      </c>
      <c r="B339" t="s">
        <v>23</v>
      </c>
      <c r="C339" t="s">
        <v>8</v>
      </c>
      <c r="D339" t="s">
        <v>9</v>
      </c>
      <c r="E339" t="s">
        <v>14</v>
      </c>
      <c r="F339" t="s">
        <v>359</v>
      </c>
      <c r="G339">
        <v>9.9977</v>
      </c>
      <c r="H339" t="str">
        <f t="shared" si="6"/>
        <v>ok</v>
      </c>
    </row>
    <row r="340" spans="1:8" x14ac:dyDescent="0.3">
      <c r="A340" s="2">
        <v>46029</v>
      </c>
      <c r="B340" t="s">
        <v>12</v>
      </c>
      <c r="C340" t="s">
        <v>19</v>
      </c>
      <c r="D340" t="s">
        <v>9</v>
      </c>
      <c r="E340" t="s">
        <v>28</v>
      </c>
      <c r="F340" t="s">
        <v>360</v>
      </c>
      <c r="G340">
        <v>10.026199999999999</v>
      </c>
      <c r="H340" t="str">
        <f t="shared" si="6"/>
        <v>ok</v>
      </c>
    </row>
    <row r="341" spans="1:8" x14ac:dyDescent="0.3">
      <c r="A341" s="2">
        <v>46029</v>
      </c>
      <c r="B341" t="s">
        <v>23</v>
      </c>
      <c r="C341" t="s">
        <v>16</v>
      </c>
      <c r="D341" t="s">
        <v>34</v>
      </c>
      <c r="E341" t="s">
        <v>14</v>
      </c>
      <c r="F341" t="s">
        <v>361</v>
      </c>
      <c r="G341">
        <v>9.99</v>
      </c>
      <c r="H341" t="str">
        <f t="shared" si="6"/>
        <v>ok</v>
      </c>
    </row>
    <row r="342" spans="1:8" x14ac:dyDescent="0.3">
      <c r="A342" s="2">
        <v>46029</v>
      </c>
      <c r="B342" t="s">
        <v>12</v>
      </c>
      <c r="C342" t="s">
        <v>16</v>
      </c>
      <c r="D342" t="s">
        <v>34</v>
      </c>
      <c r="E342" t="s">
        <v>14</v>
      </c>
      <c r="F342" t="s">
        <v>362</v>
      </c>
      <c r="G342">
        <v>10.004799999999999</v>
      </c>
      <c r="H342" t="str">
        <f t="shared" si="6"/>
        <v>ok</v>
      </c>
    </row>
    <row r="343" spans="1:8" x14ac:dyDescent="0.3">
      <c r="A343" s="2">
        <v>46029</v>
      </c>
      <c r="B343" t="s">
        <v>7</v>
      </c>
      <c r="C343" t="s">
        <v>16</v>
      </c>
      <c r="D343" t="s">
        <v>9</v>
      </c>
      <c r="E343" t="s">
        <v>28</v>
      </c>
      <c r="F343" t="s">
        <v>363</v>
      </c>
      <c r="G343">
        <v>10.0404</v>
      </c>
      <c r="H343" t="str">
        <f t="shared" si="6"/>
        <v>ok</v>
      </c>
    </row>
    <row r="344" spans="1:8" x14ac:dyDescent="0.3">
      <c r="A344" s="2">
        <v>46029</v>
      </c>
      <c r="B344" t="s">
        <v>23</v>
      </c>
      <c r="C344" t="s">
        <v>19</v>
      </c>
      <c r="D344" t="s">
        <v>17</v>
      </c>
      <c r="E344" t="s">
        <v>14</v>
      </c>
      <c r="F344" t="s">
        <v>364</v>
      </c>
      <c r="G344">
        <v>9.9862000000000002</v>
      </c>
      <c r="H344" t="str">
        <f t="shared" si="6"/>
        <v>ok</v>
      </c>
    </row>
    <row r="345" spans="1:8" x14ac:dyDescent="0.3">
      <c r="A345" s="2">
        <v>46029</v>
      </c>
      <c r="B345" t="s">
        <v>23</v>
      </c>
      <c r="C345" t="s">
        <v>8</v>
      </c>
      <c r="D345" t="s">
        <v>9</v>
      </c>
      <c r="E345" t="s">
        <v>28</v>
      </c>
      <c r="F345" t="s">
        <v>365</v>
      </c>
      <c r="G345">
        <v>10.007300000000001</v>
      </c>
      <c r="H345" t="str">
        <f t="shared" si="6"/>
        <v>ok</v>
      </c>
    </row>
    <row r="346" spans="1:8" x14ac:dyDescent="0.3">
      <c r="A346" s="2">
        <v>46029</v>
      </c>
      <c r="B346" t="s">
        <v>7</v>
      </c>
      <c r="C346" t="s">
        <v>8</v>
      </c>
      <c r="D346" t="s">
        <v>9</v>
      </c>
      <c r="E346" t="s">
        <v>21</v>
      </c>
      <c r="F346" t="s">
        <v>366</v>
      </c>
      <c r="G346">
        <v>9.9682999999999993</v>
      </c>
      <c r="H346" t="str">
        <f t="shared" si="6"/>
        <v>ok</v>
      </c>
    </row>
    <row r="347" spans="1:8" x14ac:dyDescent="0.3">
      <c r="A347" s="2">
        <v>46029</v>
      </c>
      <c r="B347" t="s">
        <v>7</v>
      </c>
      <c r="C347" t="s">
        <v>19</v>
      </c>
      <c r="D347" t="s">
        <v>17</v>
      </c>
      <c r="E347" t="s">
        <v>28</v>
      </c>
      <c r="F347" t="s">
        <v>367</v>
      </c>
      <c r="G347">
        <v>9.9876000000000005</v>
      </c>
      <c r="H347" t="str">
        <f t="shared" si="6"/>
        <v>ok</v>
      </c>
    </row>
    <row r="348" spans="1:8" x14ac:dyDescent="0.3">
      <c r="A348" s="2">
        <v>46029</v>
      </c>
      <c r="B348" t="s">
        <v>7</v>
      </c>
      <c r="C348" t="s">
        <v>16</v>
      </c>
      <c r="D348" t="s">
        <v>17</v>
      </c>
      <c r="E348" t="s">
        <v>21</v>
      </c>
      <c r="F348" t="s">
        <v>368</v>
      </c>
      <c r="G348">
        <v>10.0105</v>
      </c>
      <c r="H348" t="str">
        <f t="shared" si="6"/>
        <v>ok</v>
      </c>
    </row>
    <row r="349" spans="1:8" x14ac:dyDescent="0.3">
      <c r="A349" s="2">
        <v>46029</v>
      </c>
      <c r="B349" t="s">
        <v>23</v>
      </c>
      <c r="C349" t="s">
        <v>19</v>
      </c>
      <c r="D349" t="s">
        <v>9</v>
      </c>
      <c r="E349" t="s">
        <v>21</v>
      </c>
      <c r="F349" t="s">
        <v>369</v>
      </c>
      <c r="G349">
        <v>9.9834999999999994</v>
      </c>
      <c r="H349" t="str">
        <f t="shared" si="6"/>
        <v>ok</v>
      </c>
    </row>
    <row r="350" spans="1:8" x14ac:dyDescent="0.3">
      <c r="A350" s="2">
        <v>46029</v>
      </c>
      <c r="B350" t="s">
        <v>12</v>
      </c>
      <c r="C350" t="s">
        <v>19</v>
      </c>
      <c r="D350" t="s">
        <v>34</v>
      </c>
      <c r="E350" t="s">
        <v>10</v>
      </c>
      <c r="F350" t="s">
        <v>370</v>
      </c>
      <c r="G350">
        <v>10.0213</v>
      </c>
      <c r="H350" t="str">
        <f t="shared" si="6"/>
        <v>ok</v>
      </c>
    </row>
    <row r="351" spans="1:8" x14ac:dyDescent="0.3">
      <c r="A351" s="2">
        <v>46029</v>
      </c>
      <c r="B351" t="s">
        <v>12</v>
      </c>
      <c r="C351" t="s">
        <v>19</v>
      </c>
      <c r="D351" t="s">
        <v>34</v>
      </c>
      <c r="E351" t="s">
        <v>14</v>
      </c>
      <c r="F351" t="s">
        <v>371</v>
      </c>
      <c r="G351">
        <v>10.0227</v>
      </c>
      <c r="H351" t="str">
        <f t="shared" si="6"/>
        <v>ok</v>
      </c>
    </row>
    <row r="352" spans="1:8" x14ac:dyDescent="0.3">
      <c r="A352" s="2">
        <v>46030</v>
      </c>
      <c r="B352" t="s">
        <v>23</v>
      </c>
      <c r="C352" t="s">
        <v>8</v>
      </c>
      <c r="D352" t="s">
        <v>34</v>
      </c>
      <c r="E352" t="s">
        <v>28</v>
      </c>
      <c r="F352" t="s">
        <v>372</v>
      </c>
      <c r="G352">
        <v>10.001799999999999</v>
      </c>
      <c r="H352" t="str">
        <f t="shared" si="6"/>
        <v>ok</v>
      </c>
    </row>
    <row r="353" spans="1:8" x14ac:dyDescent="0.3">
      <c r="A353" s="2">
        <v>46030</v>
      </c>
      <c r="B353" t="s">
        <v>12</v>
      </c>
      <c r="C353" t="s">
        <v>8</v>
      </c>
      <c r="D353" t="s">
        <v>34</v>
      </c>
      <c r="E353" t="s">
        <v>21</v>
      </c>
      <c r="F353" t="s">
        <v>373</v>
      </c>
      <c r="G353">
        <v>10.046900000000001</v>
      </c>
      <c r="H353" t="str">
        <f t="shared" si="6"/>
        <v>ok</v>
      </c>
    </row>
    <row r="354" spans="1:8" x14ac:dyDescent="0.3">
      <c r="A354" s="2">
        <v>46030</v>
      </c>
      <c r="B354" t="s">
        <v>12</v>
      </c>
      <c r="C354" t="s">
        <v>19</v>
      </c>
      <c r="D354" t="s">
        <v>17</v>
      </c>
      <c r="E354" t="s">
        <v>36</v>
      </c>
      <c r="F354" t="s">
        <v>374</v>
      </c>
      <c r="G354">
        <v>10.0006</v>
      </c>
      <c r="H354" t="str">
        <f t="shared" si="6"/>
        <v>ok</v>
      </c>
    </row>
    <row r="355" spans="1:8" x14ac:dyDescent="0.3">
      <c r="A355" s="2">
        <v>46030</v>
      </c>
      <c r="B355" t="s">
        <v>7</v>
      </c>
      <c r="C355" t="s">
        <v>19</v>
      </c>
      <c r="D355" t="s">
        <v>34</v>
      </c>
      <c r="E355" t="s">
        <v>14</v>
      </c>
      <c r="F355" t="s">
        <v>375</v>
      </c>
      <c r="G355">
        <v>9.9931000000000001</v>
      </c>
      <c r="H355" t="str">
        <f t="shared" si="6"/>
        <v>ok</v>
      </c>
    </row>
    <row r="356" spans="1:8" x14ac:dyDescent="0.3">
      <c r="A356" s="2">
        <v>46030</v>
      </c>
      <c r="B356" t="s">
        <v>23</v>
      </c>
      <c r="C356" t="s">
        <v>8</v>
      </c>
      <c r="D356" t="s">
        <v>13</v>
      </c>
      <c r="E356" t="s">
        <v>28</v>
      </c>
      <c r="F356" t="s">
        <v>376</v>
      </c>
      <c r="G356">
        <v>9.9749999999999996</v>
      </c>
      <c r="H356" t="str">
        <f t="shared" si="6"/>
        <v>ok</v>
      </c>
    </row>
    <row r="357" spans="1:8" x14ac:dyDescent="0.3">
      <c r="A357" s="2">
        <v>46030</v>
      </c>
      <c r="B357" t="s">
        <v>12</v>
      </c>
      <c r="C357" t="s">
        <v>16</v>
      </c>
      <c r="D357" t="s">
        <v>9</v>
      </c>
      <c r="E357" t="s">
        <v>10</v>
      </c>
      <c r="F357" t="s">
        <v>377</v>
      </c>
      <c r="G357">
        <v>10.067</v>
      </c>
      <c r="H357" t="str">
        <f t="shared" si="6"/>
        <v>ok</v>
      </c>
    </row>
    <row r="358" spans="1:8" x14ac:dyDescent="0.3">
      <c r="A358" s="2">
        <v>46030</v>
      </c>
      <c r="B358" t="s">
        <v>23</v>
      </c>
      <c r="C358" t="s">
        <v>16</v>
      </c>
      <c r="D358" t="s">
        <v>34</v>
      </c>
      <c r="E358" t="s">
        <v>28</v>
      </c>
      <c r="F358" t="s">
        <v>378</v>
      </c>
      <c r="G358">
        <v>9.9924999999999997</v>
      </c>
      <c r="H358" t="str">
        <f t="shared" si="6"/>
        <v>ok</v>
      </c>
    </row>
    <row r="359" spans="1:8" x14ac:dyDescent="0.3">
      <c r="A359" s="2">
        <v>46030</v>
      </c>
      <c r="B359" t="s">
        <v>7</v>
      </c>
      <c r="C359" t="s">
        <v>16</v>
      </c>
      <c r="D359" t="s">
        <v>17</v>
      </c>
      <c r="E359" t="s">
        <v>36</v>
      </c>
      <c r="F359" t="s">
        <v>379</v>
      </c>
      <c r="G359">
        <v>10.007400000000001</v>
      </c>
      <c r="H359" t="str">
        <f t="shared" si="6"/>
        <v>ok</v>
      </c>
    </row>
    <row r="360" spans="1:8" x14ac:dyDescent="0.3">
      <c r="A360" s="2">
        <v>46030</v>
      </c>
      <c r="B360" t="s">
        <v>7</v>
      </c>
      <c r="C360" t="s">
        <v>16</v>
      </c>
      <c r="D360" t="s">
        <v>17</v>
      </c>
      <c r="E360" t="s">
        <v>28</v>
      </c>
      <c r="F360" t="s">
        <v>380</v>
      </c>
      <c r="G360">
        <v>9.9802999999999997</v>
      </c>
      <c r="H360" t="str">
        <f t="shared" si="6"/>
        <v>ok</v>
      </c>
    </row>
    <row r="361" spans="1:8" x14ac:dyDescent="0.3">
      <c r="A361" s="2">
        <v>46030</v>
      </c>
      <c r="B361" t="s">
        <v>23</v>
      </c>
      <c r="C361" t="s">
        <v>8</v>
      </c>
      <c r="D361" t="s">
        <v>34</v>
      </c>
      <c r="E361" t="s">
        <v>14</v>
      </c>
      <c r="F361" t="s">
        <v>381</v>
      </c>
      <c r="G361">
        <v>9.9733000000000001</v>
      </c>
      <c r="H361" t="str">
        <f t="shared" si="6"/>
        <v>ok</v>
      </c>
    </row>
    <row r="362" spans="1:8" x14ac:dyDescent="0.3">
      <c r="A362" s="2">
        <v>46030</v>
      </c>
      <c r="B362" t="s">
        <v>12</v>
      </c>
      <c r="C362" t="s">
        <v>16</v>
      </c>
      <c r="D362" t="s">
        <v>17</v>
      </c>
      <c r="E362" t="s">
        <v>21</v>
      </c>
      <c r="F362" t="s">
        <v>382</v>
      </c>
      <c r="G362">
        <v>9.9830000000000005</v>
      </c>
      <c r="H362" t="str">
        <f t="shared" si="6"/>
        <v>ok</v>
      </c>
    </row>
    <row r="363" spans="1:8" x14ac:dyDescent="0.3">
      <c r="A363" s="2">
        <v>46030</v>
      </c>
      <c r="B363" t="s">
        <v>12</v>
      </c>
      <c r="C363" t="s">
        <v>16</v>
      </c>
      <c r="D363" t="s">
        <v>9</v>
      </c>
      <c r="E363" t="s">
        <v>21</v>
      </c>
      <c r="F363" t="s">
        <v>383</v>
      </c>
      <c r="G363">
        <v>10.0229</v>
      </c>
      <c r="H363" t="str">
        <f t="shared" si="6"/>
        <v>ok</v>
      </c>
    </row>
    <row r="364" spans="1:8" x14ac:dyDescent="0.3">
      <c r="A364" s="2">
        <v>46030</v>
      </c>
      <c r="B364" t="s">
        <v>7</v>
      </c>
      <c r="C364" t="s">
        <v>16</v>
      </c>
      <c r="D364" t="s">
        <v>9</v>
      </c>
      <c r="E364" t="s">
        <v>14</v>
      </c>
      <c r="F364" t="s">
        <v>384</v>
      </c>
      <c r="G364">
        <v>10.0372</v>
      </c>
      <c r="H364" t="str">
        <f t="shared" si="6"/>
        <v>ok</v>
      </c>
    </row>
    <row r="365" spans="1:8" x14ac:dyDescent="0.3">
      <c r="A365" s="2">
        <v>46030</v>
      </c>
      <c r="B365" t="s">
        <v>12</v>
      </c>
      <c r="C365" t="s">
        <v>19</v>
      </c>
      <c r="D365" t="s">
        <v>17</v>
      </c>
      <c r="E365" t="s">
        <v>36</v>
      </c>
      <c r="F365" t="s">
        <v>385</v>
      </c>
      <c r="G365">
        <v>10.004200000000001</v>
      </c>
      <c r="H365" t="str">
        <f t="shared" si="6"/>
        <v>ok</v>
      </c>
    </row>
    <row r="366" spans="1:8" x14ac:dyDescent="0.3">
      <c r="A366" s="2">
        <v>46030</v>
      </c>
      <c r="B366" t="s">
        <v>23</v>
      </c>
      <c r="C366" t="s">
        <v>16</v>
      </c>
      <c r="D366" t="s">
        <v>9</v>
      </c>
      <c r="E366" t="s">
        <v>14</v>
      </c>
      <c r="F366" t="s">
        <v>386</v>
      </c>
      <c r="G366">
        <v>9.9854000000000003</v>
      </c>
      <c r="H366" t="str">
        <f t="shared" si="6"/>
        <v>ok</v>
      </c>
    </row>
    <row r="367" spans="1:8" x14ac:dyDescent="0.3">
      <c r="A367" s="2">
        <v>46030</v>
      </c>
      <c r="B367" t="s">
        <v>23</v>
      </c>
      <c r="C367" t="s">
        <v>19</v>
      </c>
      <c r="D367" t="s">
        <v>34</v>
      </c>
      <c r="E367" t="s">
        <v>28</v>
      </c>
      <c r="F367" t="s">
        <v>387</v>
      </c>
      <c r="G367">
        <v>10.033099999999999</v>
      </c>
      <c r="H367" t="str">
        <f t="shared" si="6"/>
        <v>ok</v>
      </c>
    </row>
    <row r="368" spans="1:8" x14ac:dyDescent="0.3">
      <c r="A368" s="2">
        <v>46030</v>
      </c>
      <c r="B368" t="s">
        <v>23</v>
      </c>
      <c r="C368" t="s">
        <v>8</v>
      </c>
      <c r="D368" t="s">
        <v>13</v>
      </c>
      <c r="E368" t="s">
        <v>10</v>
      </c>
      <c r="F368" t="s">
        <v>388</v>
      </c>
      <c r="G368">
        <v>9.9803999999999995</v>
      </c>
      <c r="H368" t="str">
        <f t="shared" si="6"/>
        <v>ok</v>
      </c>
    </row>
    <row r="369" spans="1:8" x14ac:dyDescent="0.3">
      <c r="A369" s="2">
        <v>46030</v>
      </c>
      <c r="B369" t="s">
        <v>12</v>
      </c>
      <c r="C369" t="s">
        <v>16</v>
      </c>
      <c r="D369" t="s">
        <v>9</v>
      </c>
      <c r="E369" t="s">
        <v>36</v>
      </c>
      <c r="F369" t="s">
        <v>389</v>
      </c>
      <c r="G369">
        <v>9.9955999999999996</v>
      </c>
      <c r="H369" t="str">
        <f t="shared" si="6"/>
        <v>ok</v>
      </c>
    </row>
    <row r="370" spans="1:8" x14ac:dyDescent="0.3">
      <c r="A370" s="2">
        <v>46030</v>
      </c>
      <c r="B370" t="s">
        <v>7</v>
      </c>
      <c r="C370" t="s">
        <v>16</v>
      </c>
      <c r="D370" t="s">
        <v>34</v>
      </c>
      <c r="E370" t="s">
        <v>10</v>
      </c>
      <c r="F370" t="s">
        <v>390</v>
      </c>
      <c r="G370">
        <v>9.9944000000000006</v>
      </c>
      <c r="H370" t="str">
        <f t="shared" si="6"/>
        <v>ok</v>
      </c>
    </row>
    <row r="371" spans="1:8" x14ac:dyDescent="0.3">
      <c r="A371" s="2">
        <v>46030</v>
      </c>
      <c r="B371" t="s">
        <v>23</v>
      </c>
      <c r="C371" t="s">
        <v>16</v>
      </c>
      <c r="D371" t="s">
        <v>9</v>
      </c>
      <c r="E371" t="s">
        <v>10</v>
      </c>
      <c r="F371" t="s">
        <v>391</v>
      </c>
      <c r="G371">
        <v>10.0015</v>
      </c>
      <c r="H371" t="str">
        <f t="shared" si="6"/>
        <v>ok</v>
      </c>
    </row>
    <row r="372" spans="1:8" x14ac:dyDescent="0.3">
      <c r="A372" s="2">
        <v>46030</v>
      </c>
      <c r="B372" t="s">
        <v>23</v>
      </c>
      <c r="C372" t="s">
        <v>19</v>
      </c>
      <c r="D372" t="s">
        <v>34</v>
      </c>
      <c r="E372" t="s">
        <v>36</v>
      </c>
      <c r="F372" t="s">
        <v>392</v>
      </c>
      <c r="G372">
        <v>10.0274</v>
      </c>
      <c r="H372" t="str">
        <f t="shared" si="6"/>
        <v>ok</v>
      </c>
    </row>
    <row r="373" spans="1:8" x14ac:dyDescent="0.3">
      <c r="A373" s="2">
        <v>46030</v>
      </c>
      <c r="B373" t="s">
        <v>7</v>
      </c>
      <c r="C373" t="s">
        <v>8</v>
      </c>
      <c r="D373" t="s">
        <v>13</v>
      </c>
      <c r="E373" t="s">
        <v>28</v>
      </c>
      <c r="F373" t="s">
        <v>393</v>
      </c>
      <c r="G373">
        <v>9.9671000000000003</v>
      </c>
      <c r="H373" t="str">
        <f t="shared" si="6"/>
        <v>ok</v>
      </c>
    </row>
    <row r="374" spans="1:8" x14ac:dyDescent="0.3">
      <c r="A374" s="2">
        <v>46030</v>
      </c>
      <c r="B374" t="s">
        <v>23</v>
      </c>
      <c r="C374" t="s">
        <v>19</v>
      </c>
      <c r="D374" t="s">
        <v>17</v>
      </c>
      <c r="E374" t="s">
        <v>21</v>
      </c>
      <c r="F374" t="s">
        <v>394</v>
      </c>
      <c r="G374">
        <v>9.9700000000000006</v>
      </c>
      <c r="H374" t="str">
        <f t="shared" si="6"/>
        <v>ok</v>
      </c>
    </row>
    <row r="375" spans="1:8" x14ac:dyDescent="0.3">
      <c r="A375" s="2">
        <v>46030</v>
      </c>
      <c r="B375" t="s">
        <v>23</v>
      </c>
      <c r="C375" t="s">
        <v>8</v>
      </c>
      <c r="D375" t="s">
        <v>13</v>
      </c>
      <c r="E375" t="s">
        <v>28</v>
      </c>
      <c r="F375" t="s">
        <v>395</v>
      </c>
      <c r="G375">
        <v>9.9987999999999992</v>
      </c>
      <c r="H375" t="str">
        <f t="shared" si="6"/>
        <v>ok</v>
      </c>
    </row>
    <row r="376" spans="1:8" x14ac:dyDescent="0.3">
      <c r="A376" s="2">
        <v>46030</v>
      </c>
      <c r="B376" t="s">
        <v>7</v>
      </c>
      <c r="C376" t="s">
        <v>16</v>
      </c>
      <c r="D376" t="s">
        <v>9</v>
      </c>
      <c r="E376" t="s">
        <v>14</v>
      </c>
      <c r="F376" t="s">
        <v>396</v>
      </c>
      <c r="G376">
        <v>10.0198</v>
      </c>
      <c r="H376" t="str">
        <f t="shared" si="6"/>
        <v>ok</v>
      </c>
    </row>
    <row r="377" spans="1:8" x14ac:dyDescent="0.3">
      <c r="A377" s="2">
        <v>46030</v>
      </c>
      <c r="B377" t="s">
        <v>7</v>
      </c>
      <c r="C377" t="s">
        <v>16</v>
      </c>
      <c r="D377" t="s">
        <v>13</v>
      </c>
      <c r="E377" t="s">
        <v>21</v>
      </c>
      <c r="F377" t="s">
        <v>397</v>
      </c>
      <c r="G377">
        <v>9.9930000000000003</v>
      </c>
      <c r="H377" t="str">
        <f t="shared" si="6"/>
        <v>ok</v>
      </c>
    </row>
    <row r="378" spans="1:8" x14ac:dyDescent="0.3">
      <c r="A378" s="2">
        <v>46030</v>
      </c>
      <c r="B378" t="s">
        <v>23</v>
      </c>
      <c r="C378" t="s">
        <v>19</v>
      </c>
      <c r="D378" t="s">
        <v>34</v>
      </c>
      <c r="E378" t="s">
        <v>14</v>
      </c>
      <c r="F378" t="s">
        <v>398</v>
      </c>
      <c r="G378">
        <v>10.0032</v>
      </c>
      <c r="H378" t="str">
        <f t="shared" si="6"/>
        <v>ok</v>
      </c>
    </row>
    <row r="379" spans="1:8" x14ac:dyDescent="0.3">
      <c r="A379" s="2">
        <v>46030</v>
      </c>
      <c r="B379" t="s">
        <v>23</v>
      </c>
      <c r="C379" t="s">
        <v>8</v>
      </c>
      <c r="D379" t="s">
        <v>9</v>
      </c>
      <c r="E379" t="s">
        <v>36</v>
      </c>
      <c r="F379" t="s">
        <v>399</v>
      </c>
      <c r="G379">
        <v>10.0144</v>
      </c>
      <c r="H379" t="str">
        <f t="shared" si="6"/>
        <v>ok</v>
      </c>
    </row>
    <row r="380" spans="1:8" x14ac:dyDescent="0.3">
      <c r="A380" s="2">
        <v>46030</v>
      </c>
      <c r="B380" t="s">
        <v>12</v>
      </c>
      <c r="C380" t="s">
        <v>16</v>
      </c>
      <c r="D380" t="s">
        <v>17</v>
      </c>
      <c r="E380" t="s">
        <v>14</v>
      </c>
      <c r="F380" t="s">
        <v>400</v>
      </c>
      <c r="G380">
        <v>10.0466</v>
      </c>
      <c r="H380" t="str">
        <f t="shared" si="6"/>
        <v>ok</v>
      </c>
    </row>
    <row r="381" spans="1:8" x14ac:dyDescent="0.3">
      <c r="A381" s="2">
        <v>46030</v>
      </c>
      <c r="B381" t="s">
        <v>12</v>
      </c>
      <c r="C381" t="s">
        <v>19</v>
      </c>
      <c r="D381" t="s">
        <v>9</v>
      </c>
      <c r="E381" t="s">
        <v>10</v>
      </c>
      <c r="F381" t="s">
        <v>401</v>
      </c>
      <c r="G381">
        <v>10.069100000000001</v>
      </c>
      <c r="H381" t="str">
        <f t="shared" si="6"/>
        <v>ok</v>
      </c>
    </row>
    <row r="382" spans="1:8" x14ac:dyDescent="0.3">
      <c r="A382" s="2">
        <v>46030</v>
      </c>
      <c r="B382" t="s">
        <v>7</v>
      </c>
      <c r="C382" t="s">
        <v>19</v>
      </c>
      <c r="D382" t="s">
        <v>9</v>
      </c>
      <c r="E382" t="s">
        <v>21</v>
      </c>
      <c r="F382" t="s">
        <v>402</v>
      </c>
      <c r="G382">
        <v>10.001099999999999</v>
      </c>
      <c r="H382" t="str">
        <f t="shared" si="6"/>
        <v>ok</v>
      </c>
    </row>
    <row r="383" spans="1:8" x14ac:dyDescent="0.3">
      <c r="A383" s="2">
        <v>46030</v>
      </c>
      <c r="B383" t="s">
        <v>12</v>
      </c>
      <c r="C383" t="s">
        <v>16</v>
      </c>
      <c r="D383" t="s">
        <v>9</v>
      </c>
      <c r="E383" t="s">
        <v>10</v>
      </c>
      <c r="F383" t="s">
        <v>403</v>
      </c>
      <c r="G383">
        <v>10.0586</v>
      </c>
      <c r="H383" t="str">
        <f t="shared" si="6"/>
        <v>ok</v>
      </c>
    </row>
    <row r="384" spans="1:8" x14ac:dyDescent="0.3">
      <c r="A384" s="2">
        <v>46030</v>
      </c>
      <c r="B384" t="s">
        <v>23</v>
      </c>
      <c r="C384" t="s">
        <v>16</v>
      </c>
      <c r="D384" t="s">
        <v>17</v>
      </c>
      <c r="E384" t="s">
        <v>10</v>
      </c>
      <c r="F384" t="s">
        <v>404</v>
      </c>
      <c r="G384">
        <v>9.9690999999999992</v>
      </c>
      <c r="H384" t="str">
        <f t="shared" si="6"/>
        <v>ok</v>
      </c>
    </row>
    <row r="385" spans="1:8" x14ac:dyDescent="0.3">
      <c r="A385" s="2">
        <v>46030</v>
      </c>
      <c r="B385" t="s">
        <v>7</v>
      </c>
      <c r="C385" t="s">
        <v>19</v>
      </c>
      <c r="D385" t="s">
        <v>34</v>
      </c>
      <c r="E385" t="s">
        <v>14</v>
      </c>
      <c r="F385" t="s">
        <v>405</v>
      </c>
      <c r="G385">
        <v>9.9793000000000003</v>
      </c>
      <c r="H385" t="str">
        <f t="shared" si="6"/>
        <v>ok</v>
      </c>
    </row>
    <row r="386" spans="1:8" x14ac:dyDescent="0.3">
      <c r="A386" s="2">
        <v>46030</v>
      </c>
      <c r="B386" t="s">
        <v>23</v>
      </c>
      <c r="C386" t="s">
        <v>19</v>
      </c>
      <c r="D386" t="s">
        <v>34</v>
      </c>
      <c r="E386" t="s">
        <v>28</v>
      </c>
      <c r="F386" t="s">
        <v>406</v>
      </c>
      <c r="G386">
        <v>9.9796999999999993</v>
      </c>
      <c r="H386" t="str">
        <f t="shared" si="6"/>
        <v>ok</v>
      </c>
    </row>
    <row r="387" spans="1:8" x14ac:dyDescent="0.3">
      <c r="A387" s="2">
        <v>46030</v>
      </c>
      <c r="B387" t="s">
        <v>7</v>
      </c>
      <c r="C387" t="s">
        <v>8</v>
      </c>
      <c r="D387" t="s">
        <v>9</v>
      </c>
      <c r="E387" t="s">
        <v>14</v>
      </c>
      <c r="F387" t="s">
        <v>407</v>
      </c>
      <c r="G387">
        <v>10.011100000000001</v>
      </c>
      <c r="H387" t="str">
        <f t="shared" si="6"/>
        <v>ok</v>
      </c>
    </row>
    <row r="388" spans="1:8" x14ac:dyDescent="0.3">
      <c r="A388" s="2">
        <v>46030</v>
      </c>
      <c r="B388" t="s">
        <v>7</v>
      </c>
      <c r="C388" t="s">
        <v>16</v>
      </c>
      <c r="D388" t="s">
        <v>13</v>
      </c>
      <c r="E388" t="s">
        <v>28</v>
      </c>
      <c r="F388" t="s">
        <v>408</v>
      </c>
      <c r="G388">
        <v>9.9879999999999995</v>
      </c>
      <c r="H388" t="str">
        <f t="shared" si="6"/>
        <v>ok</v>
      </c>
    </row>
    <row r="389" spans="1:8" x14ac:dyDescent="0.3">
      <c r="A389" s="2">
        <v>46030</v>
      </c>
      <c r="B389" t="s">
        <v>7</v>
      </c>
      <c r="C389" t="s">
        <v>8</v>
      </c>
      <c r="D389" t="s">
        <v>9</v>
      </c>
      <c r="E389" t="s">
        <v>28</v>
      </c>
      <c r="F389" t="s">
        <v>409</v>
      </c>
      <c r="G389">
        <v>9.9949999999999992</v>
      </c>
      <c r="H389" t="str">
        <f t="shared" si="6"/>
        <v>ok</v>
      </c>
    </row>
    <row r="390" spans="1:8" x14ac:dyDescent="0.3">
      <c r="A390" s="2">
        <v>46030</v>
      </c>
      <c r="B390" t="s">
        <v>7</v>
      </c>
      <c r="C390" t="s">
        <v>16</v>
      </c>
      <c r="D390" t="s">
        <v>34</v>
      </c>
      <c r="E390" t="s">
        <v>14</v>
      </c>
      <c r="F390" t="s">
        <v>410</v>
      </c>
      <c r="G390">
        <v>9.9751999999999992</v>
      </c>
      <c r="H390" t="str">
        <f t="shared" ref="H390:H453" si="7">IF(OR(G390&gt;10.5,G390&lt;9.95),"Defect","ok")</f>
        <v>ok</v>
      </c>
    </row>
    <row r="391" spans="1:8" x14ac:dyDescent="0.3">
      <c r="A391" s="2">
        <v>46030</v>
      </c>
      <c r="B391" t="s">
        <v>12</v>
      </c>
      <c r="C391" t="s">
        <v>19</v>
      </c>
      <c r="D391" t="s">
        <v>17</v>
      </c>
      <c r="E391" t="s">
        <v>14</v>
      </c>
      <c r="F391" t="s">
        <v>411</v>
      </c>
      <c r="G391">
        <v>10.013400000000001</v>
      </c>
      <c r="H391" t="str">
        <f t="shared" si="7"/>
        <v>ok</v>
      </c>
    </row>
    <row r="392" spans="1:8" x14ac:dyDescent="0.3">
      <c r="A392" s="2">
        <v>46030</v>
      </c>
      <c r="B392" t="s">
        <v>7</v>
      </c>
      <c r="C392" t="s">
        <v>19</v>
      </c>
      <c r="D392" t="s">
        <v>34</v>
      </c>
      <c r="E392" t="s">
        <v>21</v>
      </c>
      <c r="F392" t="s">
        <v>412</v>
      </c>
      <c r="G392">
        <v>9.9982000000000006</v>
      </c>
      <c r="H392" t="str">
        <f t="shared" si="7"/>
        <v>ok</v>
      </c>
    </row>
    <row r="393" spans="1:8" x14ac:dyDescent="0.3">
      <c r="A393" s="2">
        <v>46030</v>
      </c>
      <c r="B393" t="s">
        <v>23</v>
      </c>
      <c r="C393" t="s">
        <v>16</v>
      </c>
      <c r="D393" t="s">
        <v>9</v>
      </c>
      <c r="E393" t="s">
        <v>28</v>
      </c>
      <c r="F393" t="s">
        <v>413</v>
      </c>
      <c r="G393">
        <v>10.0327</v>
      </c>
      <c r="H393" t="str">
        <f t="shared" si="7"/>
        <v>ok</v>
      </c>
    </row>
    <row r="394" spans="1:8" x14ac:dyDescent="0.3">
      <c r="A394" s="2">
        <v>46030</v>
      </c>
      <c r="B394" t="s">
        <v>12</v>
      </c>
      <c r="C394" t="s">
        <v>19</v>
      </c>
      <c r="D394" t="s">
        <v>9</v>
      </c>
      <c r="E394" t="s">
        <v>10</v>
      </c>
      <c r="F394" t="s">
        <v>414</v>
      </c>
      <c r="G394">
        <v>10.029199999999999</v>
      </c>
      <c r="H394" t="str">
        <f t="shared" si="7"/>
        <v>ok</v>
      </c>
    </row>
    <row r="395" spans="1:8" x14ac:dyDescent="0.3">
      <c r="A395" s="2">
        <v>46030</v>
      </c>
      <c r="B395" t="s">
        <v>12</v>
      </c>
      <c r="C395" t="s">
        <v>8</v>
      </c>
      <c r="D395" t="s">
        <v>9</v>
      </c>
      <c r="E395" t="s">
        <v>21</v>
      </c>
      <c r="F395" t="s">
        <v>415</v>
      </c>
      <c r="G395">
        <v>9.9664000000000001</v>
      </c>
      <c r="H395" t="str">
        <f t="shared" si="7"/>
        <v>ok</v>
      </c>
    </row>
    <row r="396" spans="1:8" x14ac:dyDescent="0.3">
      <c r="A396" s="2">
        <v>46030</v>
      </c>
      <c r="B396" t="s">
        <v>23</v>
      </c>
      <c r="C396" t="s">
        <v>19</v>
      </c>
      <c r="D396" t="s">
        <v>17</v>
      </c>
      <c r="E396" t="s">
        <v>21</v>
      </c>
      <c r="F396" t="s">
        <v>416</v>
      </c>
      <c r="G396">
        <v>10.0351</v>
      </c>
      <c r="H396" t="str">
        <f t="shared" si="7"/>
        <v>ok</v>
      </c>
    </row>
    <row r="397" spans="1:8" x14ac:dyDescent="0.3">
      <c r="A397" s="2">
        <v>46030</v>
      </c>
      <c r="B397" t="s">
        <v>23</v>
      </c>
      <c r="C397" t="s">
        <v>8</v>
      </c>
      <c r="D397" t="s">
        <v>34</v>
      </c>
      <c r="E397" t="s">
        <v>21</v>
      </c>
      <c r="F397" t="s">
        <v>417</v>
      </c>
      <c r="G397">
        <v>10.0365</v>
      </c>
      <c r="H397" t="str">
        <f t="shared" si="7"/>
        <v>ok</v>
      </c>
    </row>
    <row r="398" spans="1:8" x14ac:dyDescent="0.3">
      <c r="A398" s="2">
        <v>46030</v>
      </c>
      <c r="B398" t="s">
        <v>7</v>
      </c>
      <c r="C398" t="s">
        <v>16</v>
      </c>
      <c r="D398" t="s">
        <v>34</v>
      </c>
      <c r="E398" t="s">
        <v>36</v>
      </c>
      <c r="F398" t="s">
        <v>418</v>
      </c>
      <c r="G398">
        <v>9.9896999999999991</v>
      </c>
      <c r="H398" t="str">
        <f t="shared" si="7"/>
        <v>ok</v>
      </c>
    </row>
    <row r="399" spans="1:8" x14ac:dyDescent="0.3">
      <c r="A399" s="2">
        <v>46030</v>
      </c>
      <c r="B399" t="s">
        <v>7</v>
      </c>
      <c r="C399" t="s">
        <v>8</v>
      </c>
      <c r="D399" t="s">
        <v>17</v>
      </c>
      <c r="E399" t="s">
        <v>28</v>
      </c>
      <c r="F399" t="s">
        <v>419</v>
      </c>
      <c r="G399">
        <v>9.9976000000000003</v>
      </c>
      <c r="H399" t="str">
        <f t="shared" si="7"/>
        <v>ok</v>
      </c>
    </row>
    <row r="400" spans="1:8" x14ac:dyDescent="0.3">
      <c r="A400" s="2">
        <v>46030</v>
      </c>
      <c r="B400" t="s">
        <v>23</v>
      </c>
      <c r="C400" t="s">
        <v>16</v>
      </c>
      <c r="D400" t="s">
        <v>9</v>
      </c>
      <c r="E400" t="s">
        <v>36</v>
      </c>
      <c r="F400" t="s">
        <v>420</v>
      </c>
      <c r="G400">
        <v>10.0197</v>
      </c>
      <c r="H400" t="str">
        <f t="shared" si="7"/>
        <v>ok</v>
      </c>
    </row>
    <row r="401" spans="1:8" x14ac:dyDescent="0.3">
      <c r="A401" s="2">
        <v>46030</v>
      </c>
      <c r="B401" t="s">
        <v>12</v>
      </c>
      <c r="C401" t="s">
        <v>8</v>
      </c>
      <c r="D401" t="s">
        <v>17</v>
      </c>
      <c r="E401" t="s">
        <v>36</v>
      </c>
      <c r="F401" t="s">
        <v>421</v>
      </c>
      <c r="G401">
        <v>9.9932999999999996</v>
      </c>
      <c r="H401" t="str">
        <f t="shared" si="7"/>
        <v>ok</v>
      </c>
    </row>
    <row r="402" spans="1:8" x14ac:dyDescent="0.3">
      <c r="A402" s="2">
        <v>46031</v>
      </c>
      <c r="B402" t="s">
        <v>12</v>
      </c>
      <c r="C402" t="s">
        <v>19</v>
      </c>
      <c r="D402" t="s">
        <v>17</v>
      </c>
      <c r="E402" t="s">
        <v>14</v>
      </c>
      <c r="F402" t="s">
        <v>422</v>
      </c>
      <c r="G402">
        <v>10.002599999999999</v>
      </c>
      <c r="H402" t="str">
        <f t="shared" si="7"/>
        <v>ok</v>
      </c>
    </row>
    <row r="403" spans="1:8" x14ac:dyDescent="0.3">
      <c r="A403" s="2">
        <v>46031</v>
      </c>
      <c r="B403" t="s">
        <v>7</v>
      </c>
      <c r="C403" t="s">
        <v>16</v>
      </c>
      <c r="D403" t="s">
        <v>17</v>
      </c>
      <c r="E403" t="s">
        <v>36</v>
      </c>
      <c r="F403" t="s">
        <v>423</v>
      </c>
      <c r="G403">
        <v>10.0274</v>
      </c>
      <c r="H403" t="str">
        <f t="shared" si="7"/>
        <v>ok</v>
      </c>
    </row>
    <row r="404" spans="1:8" x14ac:dyDescent="0.3">
      <c r="A404" s="2">
        <v>46031</v>
      </c>
      <c r="B404" t="s">
        <v>23</v>
      </c>
      <c r="C404" t="s">
        <v>16</v>
      </c>
      <c r="D404" t="s">
        <v>17</v>
      </c>
      <c r="E404" t="s">
        <v>10</v>
      </c>
      <c r="F404" t="s">
        <v>424</v>
      </c>
      <c r="G404">
        <v>9.9918999999999993</v>
      </c>
      <c r="H404" t="str">
        <f t="shared" si="7"/>
        <v>ok</v>
      </c>
    </row>
    <row r="405" spans="1:8" x14ac:dyDescent="0.3">
      <c r="A405" s="2">
        <v>46031</v>
      </c>
      <c r="B405" t="s">
        <v>7</v>
      </c>
      <c r="C405" t="s">
        <v>8</v>
      </c>
      <c r="D405" t="s">
        <v>17</v>
      </c>
      <c r="E405" t="s">
        <v>36</v>
      </c>
      <c r="F405" t="s">
        <v>425</v>
      </c>
      <c r="G405">
        <v>9.9953000000000003</v>
      </c>
      <c r="H405" t="str">
        <f t="shared" si="7"/>
        <v>ok</v>
      </c>
    </row>
    <row r="406" spans="1:8" x14ac:dyDescent="0.3">
      <c r="A406" s="2">
        <v>46031</v>
      </c>
      <c r="B406" t="s">
        <v>7</v>
      </c>
      <c r="C406" t="s">
        <v>19</v>
      </c>
      <c r="D406" t="s">
        <v>34</v>
      </c>
      <c r="E406" t="s">
        <v>10</v>
      </c>
      <c r="F406" t="s">
        <v>426</v>
      </c>
      <c r="G406">
        <v>10.006600000000001</v>
      </c>
      <c r="H406" t="str">
        <f t="shared" si="7"/>
        <v>ok</v>
      </c>
    </row>
    <row r="407" spans="1:8" x14ac:dyDescent="0.3">
      <c r="A407" s="2">
        <v>46031</v>
      </c>
      <c r="B407" t="s">
        <v>7</v>
      </c>
      <c r="C407" t="s">
        <v>8</v>
      </c>
      <c r="D407" t="s">
        <v>17</v>
      </c>
      <c r="E407" t="s">
        <v>21</v>
      </c>
      <c r="F407" t="s">
        <v>427</v>
      </c>
      <c r="G407">
        <v>9.9984000000000002</v>
      </c>
      <c r="H407" t="str">
        <f t="shared" si="7"/>
        <v>ok</v>
      </c>
    </row>
    <row r="408" spans="1:8" x14ac:dyDescent="0.3">
      <c r="A408" s="2">
        <v>46031</v>
      </c>
      <c r="B408" t="s">
        <v>23</v>
      </c>
      <c r="C408" t="s">
        <v>19</v>
      </c>
      <c r="D408" t="s">
        <v>34</v>
      </c>
      <c r="E408" t="s">
        <v>28</v>
      </c>
      <c r="F408" t="s">
        <v>428</v>
      </c>
      <c r="G408">
        <v>9.9703999999999997</v>
      </c>
      <c r="H408" t="str">
        <f t="shared" si="7"/>
        <v>ok</v>
      </c>
    </row>
    <row r="409" spans="1:8" x14ac:dyDescent="0.3">
      <c r="A409" s="2">
        <v>46031</v>
      </c>
      <c r="B409" t="s">
        <v>23</v>
      </c>
      <c r="C409" t="s">
        <v>8</v>
      </c>
      <c r="D409" t="s">
        <v>9</v>
      </c>
      <c r="E409" t="s">
        <v>21</v>
      </c>
      <c r="F409" t="s">
        <v>429</v>
      </c>
      <c r="G409">
        <v>9.9861000000000004</v>
      </c>
      <c r="H409" t="str">
        <f t="shared" si="7"/>
        <v>ok</v>
      </c>
    </row>
    <row r="410" spans="1:8" x14ac:dyDescent="0.3">
      <c r="A410" s="2">
        <v>46031</v>
      </c>
      <c r="B410" t="s">
        <v>7</v>
      </c>
      <c r="C410" t="s">
        <v>19</v>
      </c>
      <c r="D410" t="s">
        <v>9</v>
      </c>
      <c r="E410" t="s">
        <v>14</v>
      </c>
      <c r="F410" t="s">
        <v>430</v>
      </c>
      <c r="G410">
        <v>9.9658999999999995</v>
      </c>
      <c r="H410" t="str">
        <f t="shared" si="7"/>
        <v>ok</v>
      </c>
    </row>
    <row r="411" spans="1:8" x14ac:dyDescent="0.3">
      <c r="A411" s="2">
        <v>46031</v>
      </c>
      <c r="B411" t="s">
        <v>12</v>
      </c>
      <c r="C411" t="s">
        <v>8</v>
      </c>
      <c r="D411" t="s">
        <v>9</v>
      </c>
      <c r="E411" t="s">
        <v>21</v>
      </c>
      <c r="F411" t="s">
        <v>431</v>
      </c>
      <c r="G411">
        <v>10.015700000000001</v>
      </c>
      <c r="H411" t="str">
        <f t="shared" si="7"/>
        <v>ok</v>
      </c>
    </row>
    <row r="412" spans="1:8" x14ac:dyDescent="0.3">
      <c r="A412" s="2">
        <v>46031</v>
      </c>
      <c r="B412" t="s">
        <v>23</v>
      </c>
      <c r="C412" t="s">
        <v>19</v>
      </c>
      <c r="D412" t="s">
        <v>9</v>
      </c>
      <c r="E412" t="s">
        <v>14</v>
      </c>
      <c r="F412" t="s">
        <v>432</v>
      </c>
      <c r="G412">
        <v>9.9806000000000008</v>
      </c>
      <c r="H412" t="str">
        <f t="shared" si="7"/>
        <v>ok</v>
      </c>
    </row>
    <row r="413" spans="1:8" x14ac:dyDescent="0.3">
      <c r="A413" s="2">
        <v>46031</v>
      </c>
      <c r="B413" t="s">
        <v>7</v>
      </c>
      <c r="C413" t="s">
        <v>19</v>
      </c>
      <c r="D413" t="s">
        <v>34</v>
      </c>
      <c r="E413" t="s">
        <v>21</v>
      </c>
      <c r="F413" t="s">
        <v>433</v>
      </c>
      <c r="G413">
        <v>10.0222</v>
      </c>
      <c r="H413" t="str">
        <f t="shared" si="7"/>
        <v>ok</v>
      </c>
    </row>
    <row r="414" spans="1:8" x14ac:dyDescent="0.3">
      <c r="A414" s="2">
        <v>46031</v>
      </c>
      <c r="B414" t="s">
        <v>12</v>
      </c>
      <c r="C414" t="s">
        <v>16</v>
      </c>
      <c r="D414" t="s">
        <v>34</v>
      </c>
      <c r="E414" t="s">
        <v>21</v>
      </c>
      <c r="F414" t="s">
        <v>434</v>
      </c>
      <c r="G414">
        <v>10.058400000000001</v>
      </c>
      <c r="H414" t="str">
        <f t="shared" si="7"/>
        <v>ok</v>
      </c>
    </row>
    <row r="415" spans="1:8" x14ac:dyDescent="0.3">
      <c r="A415" s="2">
        <v>46031</v>
      </c>
      <c r="B415" t="s">
        <v>7</v>
      </c>
      <c r="C415" t="s">
        <v>19</v>
      </c>
      <c r="D415" t="s">
        <v>17</v>
      </c>
      <c r="E415" t="s">
        <v>10</v>
      </c>
      <c r="F415" t="s">
        <v>435</v>
      </c>
      <c r="G415">
        <v>10.016999999999999</v>
      </c>
      <c r="H415" t="str">
        <f t="shared" si="7"/>
        <v>ok</v>
      </c>
    </row>
    <row r="416" spans="1:8" x14ac:dyDescent="0.3">
      <c r="A416" s="2">
        <v>46031</v>
      </c>
      <c r="B416" t="s">
        <v>12</v>
      </c>
      <c r="C416" t="s">
        <v>16</v>
      </c>
      <c r="D416" t="s">
        <v>13</v>
      </c>
      <c r="E416" t="s">
        <v>14</v>
      </c>
      <c r="F416" t="s">
        <v>436</v>
      </c>
      <c r="G416">
        <v>10.0418</v>
      </c>
      <c r="H416" t="str">
        <f t="shared" si="7"/>
        <v>ok</v>
      </c>
    </row>
    <row r="417" spans="1:8" x14ac:dyDescent="0.3">
      <c r="A417" s="2">
        <v>46031</v>
      </c>
      <c r="B417" t="s">
        <v>23</v>
      </c>
      <c r="C417" t="s">
        <v>19</v>
      </c>
      <c r="D417" t="s">
        <v>17</v>
      </c>
      <c r="E417" t="s">
        <v>28</v>
      </c>
      <c r="F417" t="s">
        <v>437</v>
      </c>
      <c r="G417">
        <v>9.9626999999999999</v>
      </c>
      <c r="H417" t="str">
        <f t="shared" si="7"/>
        <v>ok</v>
      </c>
    </row>
    <row r="418" spans="1:8" x14ac:dyDescent="0.3">
      <c r="A418" s="2">
        <v>46031</v>
      </c>
      <c r="B418" t="s">
        <v>7</v>
      </c>
      <c r="C418" t="s">
        <v>8</v>
      </c>
      <c r="D418" t="s">
        <v>34</v>
      </c>
      <c r="E418" t="s">
        <v>10</v>
      </c>
      <c r="F418" t="s">
        <v>438</v>
      </c>
      <c r="G418">
        <v>9.9931999999999999</v>
      </c>
      <c r="H418" t="str">
        <f t="shared" si="7"/>
        <v>ok</v>
      </c>
    </row>
    <row r="419" spans="1:8" x14ac:dyDescent="0.3">
      <c r="A419" s="2">
        <v>46031</v>
      </c>
      <c r="B419" t="s">
        <v>7</v>
      </c>
      <c r="C419" t="s">
        <v>19</v>
      </c>
      <c r="D419" t="s">
        <v>34</v>
      </c>
      <c r="E419" t="s">
        <v>36</v>
      </c>
      <c r="F419" t="s">
        <v>439</v>
      </c>
      <c r="G419">
        <v>9.9816000000000003</v>
      </c>
      <c r="H419" t="str">
        <f t="shared" si="7"/>
        <v>ok</v>
      </c>
    </row>
    <row r="420" spans="1:8" x14ac:dyDescent="0.3">
      <c r="A420" s="2">
        <v>46031</v>
      </c>
      <c r="B420" t="s">
        <v>7</v>
      </c>
      <c r="C420" t="s">
        <v>16</v>
      </c>
      <c r="D420" t="s">
        <v>17</v>
      </c>
      <c r="E420" t="s">
        <v>14</v>
      </c>
      <c r="F420" t="s">
        <v>440</v>
      </c>
      <c r="G420">
        <v>10.002700000000001</v>
      </c>
      <c r="H420" t="str">
        <f t="shared" si="7"/>
        <v>ok</v>
      </c>
    </row>
    <row r="421" spans="1:8" x14ac:dyDescent="0.3">
      <c r="A421" s="2">
        <v>46031</v>
      </c>
      <c r="B421" t="s">
        <v>12</v>
      </c>
      <c r="C421" t="s">
        <v>8</v>
      </c>
      <c r="D421" t="s">
        <v>34</v>
      </c>
      <c r="E421" t="s">
        <v>10</v>
      </c>
      <c r="F421" t="s">
        <v>441</v>
      </c>
      <c r="G421">
        <v>10.004899999999999</v>
      </c>
      <c r="H421" t="str">
        <f t="shared" si="7"/>
        <v>ok</v>
      </c>
    </row>
    <row r="422" spans="1:8" x14ac:dyDescent="0.3">
      <c r="A422" s="2">
        <v>46031</v>
      </c>
      <c r="B422" t="s">
        <v>23</v>
      </c>
      <c r="C422" t="s">
        <v>19</v>
      </c>
      <c r="D422" t="s">
        <v>17</v>
      </c>
      <c r="E422" t="s">
        <v>14</v>
      </c>
      <c r="F422" t="s">
        <v>442</v>
      </c>
      <c r="G422">
        <v>10.023300000000001</v>
      </c>
      <c r="H422" t="str">
        <f t="shared" si="7"/>
        <v>ok</v>
      </c>
    </row>
    <row r="423" spans="1:8" x14ac:dyDescent="0.3">
      <c r="A423" s="2">
        <v>46031</v>
      </c>
      <c r="B423" t="s">
        <v>12</v>
      </c>
      <c r="C423" t="s">
        <v>16</v>
      </c>
      <c r="D423" t="s">
        <v>9</v>
      </c>
      <c r="E423" t="s">
        <v>10</v>
      </c>
      <c r="F423" t="s">
        <v>443</v>
      </c>
      <c r="G423">
        <v>10.011699999999999</v>
      </c>
      <c r="H423" t="str">
        <f t="shared" si="7"/>
        <v>ok</v>
      </c>
    </row>
    <row r="424" spans="1:8" x14ac:dyDescent="0.3">
      <c r="A424" s="2">
        <v>46031</v>
      </c>
      <c r="B424" t="s">
        <v>23</v>
      </c>
      <c r="C424" t="s">
        <v>19</v>
      </c>
      <c r="D424" t="s">
        <v>17</v>
      </c>
      <c r="E424" t="s">
        <v>10</v>
      </c>
      <c r="F424" t="s">
        <v>444</v>
      </c>
      <c r="G424">
        <v>10.0121</v>
      </c>
      <c r="H424" t="str">
        <f t="shared" si="7"/>
        <v>ok</v>
      </c>
    </row>
    <row r="425" spans="1:8" x14ac:dyDescent="0.3">
      <c r="A425" s="2">
        <v>46031</v>
      </c>
      <c r="B425" t="s">
        <v>12</v>
      </c>
      <c r="C425" t="s">
        <v>8</v>
      </c>
      <c r="D425" t="s">
        <v>17</v>
      </c>
      <c r="E425" t="s">
        <v>10</v>
      </c>
      <c r="F425" t="s">
        <v>445</v>
      </c>
      <c r="G425">
        <v>10.014699999999999</v>
      </c>
      <c r="H425" t="str">
        <f t="shared" si="7"/>
        <v>ok</v>
      </c>
    </row>
    <row r="426" spans="1:8" x14ac:dyDescent="0.3">
      <c r="A426" s="2">
        <v>46031</v>
      </c>
      <c r="B426" t="s">
        <v>23</v>
      </c>
      <c r="C426" t="s">
        <v>19</v>
      </c>
      <c r="D426" t="s">
        <v>13</v>
      </c>
      <c r="E426" t="s">
        <v>28</v>
      </c>
      <c r="F426" t="s">
        <v>446</v>
      </c>
      <c r="G426">
        <v>9.9802</v>
      </c>
      <c r="H426" t="str">
        <f t="shared" si="7"/>
        <v>ok</v>
      </c>
    </row>
    <row r="427" spans="1:8" x14ac:dyDescent="0.3">
      <c r="A427" s="2">
        <v>46031</v>
      </c>
      <c r="B427" t="s">
        <v>23</v>
      </c>
      <c r="C427" t="s">
        <v>8</v>
      </c>
      <c r="D427" t="s">
        <v>17</v>
      </c>
      <c r="E427" t="s">
        <v>36</v>
      </c>
      <c r="F427" t="s">
        <v>447</v>
      </c>
      <c r="G427">
        <v>10.006399999999999</v>
      </c>
      <c r="H427" t="str">
        <f t="shared" si="7"/>
        <v>ok</v>
      </c>
    </row>
    <row r="428" spans="1:8" x14ac:dyDescent="0.3">
      <c r="A428" s="2">
        <v>46031</v>
      </c>
      <c r="B428" t="s">
        <v>12</v>
      </c>
      <c r="C428" t="s">
        <v>8</v>
      </c>
      <c r="D428" t="s">
        <v>13</v>
      </c>
      <c r="E428" t="s">
        <v>21</v>
      </c>
      <c r="F428" t="s">
        <v>448</v>
      </c>
      <c r="G428">
        <v>10.011200000000001</v>
      </c>
      <c r="H428" t="str">
        <f t="shared" si="7"/>
        <v>ok</v>
      </c>
    </row>
    <row r="429" spans="1:8" x14ac:dyDescent="0.3">
      <c r="A429" s="2">
        <v>46031</v>
      </c>
      <c r="B429" t="s">
        <v>7</v>
      </c>
      <c r="C429" t="s">
        <v>19</v>
      </c>
      <c r="D429" t="s">
        <v>9</v>
      </c>
      <c r="E429" t="s">
        <v>36</v>
      </c>
      <c r="F429" t="s">
        <v>449</v>
      </c>
      <c r="G429">
        <v>10.0237</v>
      </c>
      <c r="H429" t="str">
        <f t="shared" si="7"/>
        <v>ok</v>
      </c>
    </row>
    <row r="430" spans="1:8" x14ac:dyDescent="0.3">
      <c r="A430" s="2">
        <v>46031</v>
      </c>
      <c r="B430" t="s">
        <v>7</v>
      </c>
      <c r="C430" t="s">
        <v>8</v>
      </c>
      <c r="D430" t="s">
        <v>13</v>
      </c>
      <c r="E430" t="s">
        <v>14</v>
      </c>
      <c r="F430" t="s">
        <v>450</v>
      </c>
      <c r="G430">
        <v>10.003299999999999</v>
      </c>
      <c r="H430" t="str">
        <f t="shared" si="7"/>
        <v>ok</v>
      </c>
    </row>
    <row r="431" spans="1:8" x14ac:dyDescent="0.3">
      <c r="A431" s="2">
        <v>46031</v>
      </c>
      <c r="B431" t="s">
        <v>12</v>
      </c>
      <c r="C431" t="s">
        <v>19</v>
      </c>
      <c r="D431" t="s">
        <v>17</v>
      </c>
      <c r="E431" t="s">
        <v>36</v>
      </c>
      <c r="F431" t="s">
        <v>451</v>
      </c>
      <c r="G431">
        <v>10.0383</v>
      </c>
      <c r="H431" t="str">
        <f t="shared" si="7"/>
        <v>ok</v>
      </c>
    </row>
    <row r="432" spans="1:8" x14ac:dyDescent="0.3">
      <c r="A432" s="2">
        <v>46031</v>
      </c>
      <c r="B432" t="s">
        <v>23</v>
      </c>
      <c r="C432" t="s">
        <v>8</v>
      </c>
      <c r="D432" t="s">
        <v>9</v>
      </c>
      <c r="E432" t="s">
        <v>21</v>
      </c>
      <c r="F432" t="s">
        <v>452</v>
      </c>
      <c r="G432">
        <v>9.9855999999999998</v>
      </c>
      <c r="H432" t="str">
        <f t="shared" si="7"/>
        <v>ok</v>
      </c>
    </row>
    <row r="433" spans="1:8" x14ac:dyDescent="0.3">
      <c r="A433" s="2">
        <v>46031</v>
      </c>
      <c r="B433" t="s">
        <v>7</v>
      </c>
      <c r="C433" t="s">
        <v>8</v>
      </c>
      <c r="D433" t="s">
        <v>17</v>
      </c>
      <c r="E433" t="s">
        <v>21</v>
      </c>
      <c r="F433" t="s">
        <v>453</v>
      </c>
      <c r="G433">
        <v>9.9771000000000001</v>
      </c>
      <c r="H433" t="str">
        <f t="shared" si="7"/>
        <v>ok</v>
      </c>
    </row>
    <row r="434" spans="1:8" x14ac:dyDescent="0.3">
      <c r="A434" s="2">
        <v>46031</v>
      </c>
      <c r="B434" t="s">
        <v>12</v>
      </c>
      <c r="C434" t="s">
        <v>16</v>
      </c>
      <c r="D434" t="s">
        <v>13</v>
      </c>
      <c r="E434" t="s">
        <v>28</v>
      </c>
      <c r="F434" t="s">
        <v>454</v>
      </c>
      <c r="G434">
        <v>9.9995999999999992</v>
      </c>
      <c r="H434" t="str">
        <f t="shared" si="7"/>
        <v>ok</v>
      </c>
    </row>
    <row r="435" spans="1:8" x14ac:dyDescent="0.3">
      <c r="A435" s="2">
        <v>46031</v>
      </c>
      <c r="B435" t="s">
        <v>23</v>
      </c>
      <c r="C435" t="s">
        <v>8</v>
      </c>
      <c r="D435" t="s">
        <v>13</v>
      </c>
      <c r="E435" t="s">
        <v>28</v>
      </c>
      <c r="F435" t="s">
        <v>455</v>
      </c>
      <c r="G435">
        <v>9.9967000000000006</v>
      </c>
      <c r="H435" t="str">
        <f t="shared" si="7"/>
        <v>ok</v>
      </c>
    </row>
    <row r="436" spans="1:8" x14ac:dyDescent="0.3">
      <c r="A436" s="2">
        <v>46031</v>
      </c>
      <c r="B436" t="s">
        <v>12</v>
      </c>
      <c r="C436" t="s">
        <v>16</v>
      </c>
      <c r="D436" t="s">
        <v>34</v>
      </c>
      <c r="E436" t="s">
        <v>28</v>
      </c>
      <c r="F436" t="s">
        <v>456</v>
      </c>
      <c r="G436">
        <v>10.026899999999999</v>
      </c>
      <c r="H436" t="str">
        <f t="shared" si="7"/>
        <v>ok</v>
      </c>
    </row>
    <row r="437" spans="1:8" x14ac:dyDescent="0.3">
      <c r="A437" s="2">
        <v>46031</v>
      </c>
      <c r="B437" t="s">
        <v>7</v>
      </c>
      <c r="C437" t="s">
        <v>16</v>
      </c>
      <c r="D437" t="s">
        <v>34</v>
      </c>
      <c r="E437" t="s">
        <v>28</v>
      </c>
      <c r="F437" t="s">
        <v>457</v>
      </c>
      <c r="G437">
        <v>10.019399999999999</v>
      </c>
      <c r="H437" t="str">
        <f t="shared" si="7"/>
        <v>ok</v>
      </c>
    </row>
    <row r="438" spans="1:8" x14ac:dyDescent="0.3">
      <c r="A438" s="2">
        <v>46031</v>
      </c>
      <c r="B438" t="s">
        <v>23</v>
      </c>
      <c r="C438" t="s">
        <v>8</v>
      </c>
      <c r="D438" t="s">
        <v>17</v>
      </c>
      <c r="E438" t="s">
        <v>36</v>
      </c>
      <c r="F438" t="s">
        <v>458</v>
      </c>
      <c r="G438">
        <v>10.002000000000001</v>
      </c>
      <c r="H438" t="str">
        <f t="shared" si="7"/>
        <v>ok</v>
      </c>
    </row>
    <row r="439" spans="1:8" x14ac:dyDescent="0.3">
      <c r="A439" s="2">
        <v>46031</v>
      </c>
      <c r="B439" t="s">
        <v>7</v>
      </c>
      <c r="C439" t="s">
        <v>16</v>
      </c>
      <c r="D439" t="s">
        <v>9</v>
      </c>
      <c r="E439" t="s">
        <v>28</v>
      </c>
      <c r="F439" t="s">
        <v>459</v>
      </c>
      <c r="G439">
        <v>10.0099</v>
      </c>
      <c r="H439" t="str">
        <f t="shared" si="7"/>
        <v>ok</v>
      </c>
    </row>
    <row r="440" spans="1:8" x14ac:dyDescent="0.3">
      <c r="A440" s="2">
        <v>46031</v>
      </c>
      <c r="B440" t="s">
        <v>12</v>
      </c>
      <c r="C440" t="s">
        <v>8</v>
      </c>
      <c r="D440" t="s">
        <v>17</v>
      </c>
      <c r="E440" t="s">
        <v>10</v>
      </c>
      <c r="F440" t="s">
        <v>460</v>
      </c>
      <c r="G440">
        <v>10.020099999999999</v>
      </c>
      <c r="H440" t="str">
        <f t="shared" si="7"/>
        <v>ok</v>
      </c>
    </row>
    <row r="441" spans="1:8" x14ac:dyDescent="0.3">
      <c r="A441" s="2">
        <v>46031</v>
      </c>
      <c r="B441" t="s">
        <v>23</v>
      </c>
      <c r="C441" t="s">
        <v>19</v>
      </c>
      <c r="D441" t="s">
        <v>17</v>
      </c>
      <c r="E441" t="s">
        <v>10</v>
      </c>
      <c r="F441" t="s">
        <v>461</v>
      </c>
      <c r="G441">
        <v>10.028499999999999</v>
      </c>
      <c r="H441" t="str">
        <f t="shared" si="7"/>
        <v>ok</v>
      </c>
    </row>
    <row r="442" spans="1:8" x14ac:dyDescent="0.3">
      <c r="A442" s="2">
        <v>46031</v>
      </c>
      <c r="B442" t="s">
        <v>23</v>
      </c>
      <c r="C442" t="s">
        <v>16</v>
      </c>
      <c r="D442" t="s">
        <v>34</v>
      </c>
      <c r="E442" t="s">
        <v>14</v>
      </c>
      <c r="F442" t="s">
        <v>462</v>
      </c>
      <c r="G442">
        <v>9.9968000000000004</v>
      </c>
      <c r="H442" t="str">
        <f t="shared" si="7"/>
        <v>ok</v>
      </c>
    </row>
    <row r="443" spans="1:8" x14ac:dyDescent="0.3">
      <c r="A443" s="2">
        <v>46031</v>
      </c>
      <c r="B443" t="s">
        <v>23</v>
      </c>
      <c r="C443" t="s">
        <v>19</v>
      </c>
      <c r="D443" t="s">
        <v>17</v>
      </c>
      <c r="E443" t="s">
        <v>14</v>
      </c>
      <c r="F443" t="s">
        <v>463</v>
      </c>
      <c r="G443">
        <v>9.9910999999999994</v>
      </c>
      <c r="H443" t="str">
        <f t="shared" si="7"/>
        <v>ok</v>
      </c>
    </row>
    <row r="444" spans="1:8" x14ac:dyDescent="0.3">
      <c r="A444" s="2">
        <v>46031</v>
      </c>
      <c r="B444" t="s">
        <v>12</v>
      </c>
      <c r="C444" t="s">
        <v>8</v>
      </c>
      <c r="D444" t="s">
        <v>17</v>
      </c>
      <c r="E444" t="s">
        <v>28</v>
      </c>
      <c r="F444" t="s">
        <v>464</v>
      </c>
      <c r="G444">
        <v>9.9654000000000007</v>
      </c>
      <c r="H444" t="str">
        <f t="shared" si="7"/>
        <v>ok</v>
      </c>
    </row>
    <row r="445" spans="1:8" x14ac:dyDescent="0.3">
      <c r="A445" s="2">
        <v>46031</v>
      </c>
      <c r="B445" t="s">
        <v>7</v>
      </c>
      <c r="C445" t="s">
        <v>19</v>
      </c>
      <c r="D445" t="s">
        <v>34</v>
      </c>
      <c r="E445" t="s">
        <v>28</v>
      </c>
      <c r="F445" t="s">
        <v>465</v>
      </c>
      <c r="G445">
        <v>10.0031</v>
      </c>
      <c r="H445" t="str">
        <f t="shared" si="7"/>
        <v>ok</v>
      </c>
    </row>
    <row r="446" spans="1:8" x14ac:dyDescent="0.3">
      <c r="A446" s="2">
        <v>46031</v>
      </c>
      <c r="B446" t="s">
        <v>23</v>
      </c>
      <c r="C446" t="s">
        <v>19</v>
      </c>
      <c r="D446" t="s">
        <v>9</v>
      </c>
      <c r="E446" t="s">
        <v>14</v>
      </c>
      <c r="F446" t="s">
        <v>466</v>
      </c>
      <c r="G446">
        <v>10.0083</v>
      </c>
      <c r="H446" t="str">
        <f t="shared" si="7"/>
        <v>ok</v>
      </c>
    </row>
    <row r="447" spans="1:8" x14ac:dyDescent="0.3">
      <c r="A447" s="2">
        <v>46031</v>
      </c>
      <c r="B447" t="s">
        <v>12</v>
      </c>
      <c r="C447" t="s">
        <v>19</v>
      </c>
      <c r="D447" t="s">
        <v>34</v>
      </c>
      <c r="E447" t="s">
        <v>28</v>
      </c>
      <c r="F447" t="s">
        <v>467</v>
      </c>
      <c r="G447">
        <v>10.0566</v>
      </c>
      <c r="H447" t="str">
        <f t="shared" si="7"/>
        <v>ok</v>
      </c>
    </row>
    <row r="448" spans="1:8" x14ac:dyDescent="0.3">
      <c r="A448" s="2">
        <v>46031</v>
      </c>
      <c r="B448" t="s">
        <v>23</v>
      </c>
      <c r="C448" t="s">
        <v>16</v>
      </c>
      <c r="D448" t="s">
        <v>34</v>
      </c>
      <c r="E448" t="s">
        <v>36</v>
      </c>
      <c r="F448" t="s">
        <v>468</v>
      </c>
      <c r="G448">
        <v>9.9707000000000008</v>
      </c>
      <c r="H448" t="str">
        <f t="shared" si="7"/>
        <v>ok</v>
      </c>
    </row>
    <row r="449" spans="1:8" x14ac:dyDescent="0.3">
      <c r="A449" s="2">
        <v>46031</v>
      </c>
      <c r="B449" t="s">
        <v>7</v>
      </c>
      <c r="C449" t="s">
        <v>19</v>
      </c>
      <c r="D449" t="s">
        <v>34</v>
      </c>
      <c r="E449" t="s">
        <v>28</v>
      </c>
      <c r="F449" t="s">
        <v>469</v>
      </c>
      <c r="G449">
        <v>10.0115</v>
      </c>
      <c r="H449" t="str">
        <f t="shared" si="7"/>
        <v>ok</v>
      </c>
    </row>
    <row r="450" spans="1:8" x14ac:dyDescent="0.3">
      <c r="A450" s="2">
        <v>46031</v>
      </c>
      <c r="B450" t="s">
        <v>7</v>
      </c>
      <c r="C450" t="s">
        <v>19</v>
      </c>
      <c r="D450" t="s">
        <v>34</v>
      </c>
      <c r="E450" t="s">
        <v>36</v>
      </c>
      <c r="F450" t="s">
        <v>470</v>
      </c>
      <c r="G450">
        <v>10.013299999999999</v>
      </c>
      <c r="H450" t="str">
        <f t="shared" si="7"/>
        <v>ok</v>
      </c>
    </row>
    <row r="451" spans="1:8" x14ac:dyDescent="0.3">
      <c r="A451" s="2">
        <v>46031</v>
      </c>
      <c r="B451" t="s">
        <v>7</v>
      </c>
      <c r="C451" t="s">
        <v>19</v>
      </c>
      <c r="D451" t="s">
        <v>17</v>
      </c>
      <c r="E451" t="s">
        <v>21</v>
      </c>
      <c r="F451" t="s">
        <v>471</v>
      </c>
      <c r="G451">
        <v>9.9883000000000006</v>
      </c>
      <c r="H451" t="str">
        <f t="shared" si="7"/>
        <v>ok</v>
      </c>
    </row>
    <row r="452" spans="1:8" x14ac:dyDescent="0.3">
      <c r="A452" s="2">
        <v>46032</v>
      </c>
      <c r="B452" t="s">
        <v>7</v>
      </c>
      <c r="C452" t="s">
        <v>16</v>
      </c>
      <c r="D452" t="s">
        <v>17</v>
      </c>
      <c r="E452" t="s">
        <v>36</v>
      </c>
      <c r="F452" t="s">
        <v>472</v>
      </c>
      <c r="G452">
        <v>9.9938000000000002</v>
      </c>
      <c r="H452" t="str">
        <f t="shared" si="7"/>
        <v>ok</v>
      </c>
    </row>
    <row r="453" spans="1:8" x14ac:dyDescent="0.3">
      <c r="A453" s="2">
        <v>46032</v>
      </c>
      <c r="B453" t="s">
        <v>7</v>
      </c>
      <c r="C453" t="s">
        <v>8</v>
      </c>
      <c r="D453" t="s">
        <v>17</v>
      </c>
      <c r="E453" t="s">
        <v>28</v>
      </c>
      <c r="F453" t="s">
        <v>473</v>
      </c>
      <c r="G453">
        <v>10.0381</v>
      </c>
      <c r="H453" t="str">
        <f t="shared" si="7"/>
        <v>ok</v>
      </c>
    </row>
    <row r="454" spans="1:8" x14ac:dyDescent="0.3">
      <c r="A454" s="2">
        <v>46032</v>
      </c>
      <c r="B454" t="s">
        <v>7</v>
      </c>
      <c r="C454" t="s">
        <v>16</v>
      </c>
      <c r="D454" t="s">
        <v>13</v>
      </c>
      <c r="E454" t="s">
        <v>10</v>
      </c>
      <c r="F454" t="s">
        <v>474</v>
      </c>
      <c r="G454">
        <v>10.0318</v>
      </c>
      <c r="H454" t="str">
        <f t="shared" ref="H454:H517" si="8">IF(OR(G454&gt;10.5,G454&lt;9.95),"Defect","ok")</f>
        <v>ok</v>
      </c>
    </row>
    <row r="455" spans="1:8" x14ac:dyDescent="0.3">
      <c r="A455" s="2">
        <v>46032</v>
      </c>
      <c r="B455" t="s">
        <v>23</v>
      </c>
      <c r="C455" t="s">
        <v>8</v>
      </c>
      <c r="D455" t="s">
        <v>34</v>
      </c>
      <c r="E455" t="s">
        <v>21</v>
      </c>
      <c r="F455" t="s">
        <v>475</v>
      </c>
      <c r="G455">
        <v>9.9860000000000007</v>
      </c>
      <c r="H455" t="str">
        <f t="shared" si="8"/>
        <v>ok</v>
      </c>
    </row>
    <row r="456" spans="1:8" x14ac:dyDescent="0.3">
      <c r="A456" s="2">
        <v>46032</v>
      </c>
      <c r="B456" t="s">
        <v>23</v>
      </c>
      <c r="C456" t="s">
        <v>16</v>
      </c>
      <c r="D456" t="s">
        <v>34</v>
      </c>
      <c r="E456" t="s">
        <v>14</v>
      </c>
      <c r="F456" t="s">
        <v>476</v>
      </c>
      <c r="G456">
        <v>9.9764999999999997</v>
      </c>
      <c r="H456" t="str">
        <f t="shared" si="8"/>
        <v>ok</v>
      </c>
    </row>
    <row r="457" spans="1:8" x14ac:dyDescent="0.3">
      <c r="A457" s="2">
        <v>46032</v>
      </c>
      <c r="B457" t="s">
        <v>23</v>
      </c>
      <c r="C457" t="s">
        <v>16</v>
      </c>
      <c r="D457" t="s">
        <v>13</v>
      </c>
      <c r="E457" t="s">
        <v>14</v>
      </c>
      <c r="F457" t="s">
        <v>477</v>
      </c>
      <c r="G457">
        <v>9.9969000000000001</v>
      </c>
      <c r="H457" t="str">
        <f t="shared" si="8"/>
        <v>ok</v>
      </c>
    </row>
    <row r="458" spans="1:8" x14ac:dyDescent="0.3">
      <c r="A458" s="2">
        <v>46032</v>
      </c>
      <c r="B458" t="s">
        <v>23</v>
      </c>
      <c r="C458" t="s">
        <v>8</v>
      </c>
      <c r="D458" t="s">
        <v>9</v>
      </c>
      <c r="E458" t="s">
        <v>36</v>
      </c>
      <c r="F458" t="s">
        <v>478</v>
      </c>
      <c r="G458">
        <v>10.009</v>
      </c>
      <c r="H458" t="str">
        <f t="shared" si="8"/>
        <v>ok</v>
      </c>
    </row>
    <row r="459" spans="1:8" x14ac:dyDescent="0.3">
      <c r="A459" s="2">
        <v>46032</v>
      </c>
      <c r="B459" t="s">
        <v>7</v>
      </c>
      <c r="C459" t="s">
        <v>16</v>
      </c>
      <c r="D459" t="s">
        <v>13</v>
      </c>
      <c r="E459" t="s">
        <v>10</v>
      </c>
      <c r="F459" t="s">
        <v>479</v>
      </c>
      <c r="G459">
        <v>9.9586000000000006</v>
      </c>
      <c r="H459" t="str">
        <f t="shared" si="8"/>
        <v>ok</v>
      </c>
    </row>
    <row r="460" spans="1:8" x14ac:dyDescent="0.3">
      <c r="A460" s="2">
        <v>46032</v>
      </c>
      <c r="B460" t="s">
        <v>7</v>
      </c>
      <c r="C460" t="s">
        <v>19</v>
      </c>
      <c r="D460" t="s">
        <v>34</v>
      </c>
      <c r="E460" t="s">
        <v>10</v>
      </c>
      <c r="F460" t="s">
        <v>480</v>
      </c>
      <c r="G460">
        <v>9.9771000000000001</v>
      </c>
      <c r="H460" t="str">
        <f t="shared" si="8"/>
        <v>ok</v>
      </c>
    </row>
    <row r="461" spans="1:8" x14ac:dyDescent="0.3">
      <c r="A461" s="2">
        <v>46032</v>
      </c>
      <c r="B461" t="s">
        <v>7</v>
      </c>
      <c r="C461" t="s">
        <v>8</v>
      </c>
      <c r="D461" t="s">
        <v>17</v>
      </c>
      <c r="E461" t="s">
        <v>28</v>
      </c>
      <c r="F461" t="s">
        <v>481</v>
      </c>
      <c r="G461">
        <v>10.0105</v>
      </c>
      <c r="H461" t="str">
        <f t="shared" si="8"/>
        <v>ok</v>
      </c>
    </row>
    <row r="462" spans="1:8" x14ac:dyDescent="0.3">
      <c r="A462" s="2">
        <v>46032</v>
      </c>
      <c r="B462" t="s">
        <v>12</v>
      </c>
      <c r="C462" t="s">
        <v>16</v>
      </c>
      <c r="D462" t="s">
        <v>17</v>
      </c>
      <c r="E462" t="s">
        <v>10</v>
      </c>
      <c r="F462" t="s">
        <v>482</v>
      </c>
      <c r="G462">
        <v>10.068300000000001</v>
      </c>
      <c r="H462" t="str">
        <f t="shared" si="8"/>
        <v>ok</v>
      </c>
    </row>
    <row r="463" spans="1:8" x14ac:dyDescent="0.3">
      <c r="A463" s="2">
        <v>46032</v>
      </c>
      <c r="B463" t="s">
        <v>12</v>
      </c>
      <c r="C463" t="s">
        <v>19</v>
      </c>
      <c r="D463" t="s">
        <v>17</v>
      </c>
      <c r="E463" t="s">
        <v>28</v>
      </c>
      <c r="F463" t="s">
        <v>483</v>
      </c>
      <c r="G463">
        <v>10.007099999999999</v>
      </c>
      <c r="H463" t="str">
        <f t="shared" si="8"/>
        <v>ok</v>
      </c>
    </row>
    <row r="464" spans="1:8" x14ac:dyDescent="0.3">
      <c r="A464" s="2">
        <v>46032</v>
      </c>
      <c r="B464" t="s">
        <v>12</v>
      </c>
      <c r="C464" t="s">
        <v>8</v>
      </c>
      <c r="D464" t="s">
        <v>13</v>
      </c>
      <c r="E464" t="s">
        <v>21</v>
      </c>
      <c r="F464" t="s">
        <v>484</v>
      </c>
      <c r="G464">
        <v>9.9695999999999998</v>
      </c>
      <c r="H464" t="str">
        <f t="shared" si="8"/>
        <v>ok</v>
      </c>
    </row>
    <row r="465" spans="1:8" x14ac:dyDescent="0.3">
      <c r="A465" s="2">
        <v>46032</v>
      </c>
      <c r="B465" t="s">
        <v>12</v>
      </c>
      <c r="C465" t="s">
        <v>19</v>
      </c>
      <c r="D465" t="s">
        <v>17</v>
      </c>
      <c r="E465" t="s">
        <v>36</v>
      </c>
      <c r="F465" t="s">
        <v>485</v>
      </c>
      <c r="G465">
        <v>10.004099999999999</v>
      </c>
      <c r="H465" t="str">
        <f t="shared" si="8"/>
        <v>ok</v>
      </c>
    </row>
    <row r="466" spans="1:8" x14ac:dyDescent="0.3">
      <c r="A466" s="2">
        <v>46032</v>
      </c>
      <c r="B466" t="s">
        <v>23</v>
      </c>
      <c r="C466" t="s">
        <v>16</v>
      </c>
      <c r="D466" t="s">
        <v>9</v>
      </c>
      <c r="E466" t="s">
        <v>10</v>
      </c>
      <c r="F466" t="s">
        <v>486</v>
      </c>
      <c r="G466">
        <v>10.004</v>
      </c>
      <c r="H466" t="str">
        <f t="shared" si="8"/>
        <v>ok</v>
      </c>
    </row>
    <row r="467" spans="1:8" x14ac:dyDescent="0.3">
      <c r="A467" s="2">
        <v>46032</v>
      </c>
      <c r="B467" t="s">
        <v>7</v>
      </c>
      <c r="C467" t="s">
        <v>8</v>
      </c>
      <c r="D467" t="s">
        <v>9</v>
      </c>
      <c r="E467" t="s">
        <v>10</v>
      </c>
      <c r="F467" t="s">
        <v>487</v>
      </c>
      <c r="G467">
        <v>9.9536999999999995</v>
      </c>
      <c r="H467" t="str">
        <f t="shared" si="8"/>
        <v>ok</v>
      </c>
    </row>
    <row r="468" spans="1:8" x14ac:dyDescent="0.3">
      <c r="A468" s="2">
        <v>46032</v>
      </c>
      <c r="B468" t="s">
        <v>23</v>
      </c>
      <c r="C468" t="s">
        <v>16</v>
      </c>
      <c r="D468" t="s">
        <v>34</v>
      </c>
      <c r="E468" t="s">
        <v>21</v>
      </c>
      <c r="F468" t="s">
        <v>488</v>
      </c>
      <c r="G468">
        <v>10.004300000000001</v>
      </c>
      <c r="H468" t="str">
        <f t="shared" si="8"/>
        <v>ok</v>
      </c>
    </row>
    <row r="469" spans="1:8" x14ac:dyDescent="0.3">
      <c r="A469" s="2">
        <v>46032</v>
      </c>
      <c r="B469" t="s">
        <v>12</v>
      </c>
      <c r="C469" t="s">
        <v>8</v>
      </c>
      <c r="D469" t="s">
        <v>17</v>
      </c>
      <c r="E469" t="s">
        <v>36</v>
      </c>
      <c r="F469" t="s">
        <v>489</v>
      </c>
      <c r="G469">
        <v>9.9821000000000009</v>
      </c>
      <c r="H469" t="str">
        <f t="shared" si="8"/>
        <v>ok</v>
      </c>
    </row>
    <row r="470" spans="1:8" x14ac:dyDescent="0.3">
      <c r="A470" s="2">
        <v>46032</v>
      </c>
      <c r="B470" t="s">
        <v>23</v>
      </c>
      <c r="C470" t="s">
        <v>8</v>
      </c>
      <c r="D470" t="s">
        <v>13</v>
      </c>
      <c r="E470" t="s">
        <v>10</v>
      </c>
      <c r="F470" t="s">
        <v>490</v>
      </c>
      <c r="G470">
        <v>9.9923000000000002</v>
      </c>
      <c r="H470" t="str">
        <f t="shared" si="8"/>
        <v>ok</v>
      </c>
    </row>
    <row r="471" spans="1:8" x14ac:dyDescent="0.3">
      <c r="A471" s="2">
        <v>46032</v>
      </c>
      <c r="B471" t="s">
        <v>23</v>
      </c>
      <c r="C471" t="s">
        <v>8</v>
      </c>
      <c r="D471" t="s">
        <v>17</v>
      </c>
      <c r="E471" t="s">
        <v>36</v>
      </c>
      <c r="F471" t="s">
        <v>491</v>
      </c>
      <c r="G471">
        <v>9.9870999999999999</v>
      </c>
      <c r="H471" t="str">
        <f t="shared" si="8"/>
        <v>ok</v>
      </c>
    </row>
    <row r="472" spans="1:8" x14ac:dyDescent="0.3">
      <c r="A472" s="2">
        <v>46032</v>
      </c>
      <c r="B472" t="s">
        <v>12</v>
      </c>
      <c r="C472" t="s">
        <v>16</v>
      </c>
      <c r="D472" t="s">
        <v>9</v>
      </c>
      <c r="E472" t="s">
        <v>21</v>
      </c>
      <c r="F472" t="s">
        <v>492</v>
      </c>
      <c r="G472">
        <v>10.0121</v>
      </c>
      <c r="H472" t="str">
        <f t="shared" si="8"/>
        <v>ok</v>
      </c>
    </row>
    <row r="473" spans="1:8" x14ac:dyDescent="0.3">
      <c r="A473" s="2">
        <v>46032</v>
      </c>
      <c r="B473" t="s">
        <v>23</v>
      </c>
      <c r="C473" t="s">
        <v>16</v>
      </c>
      <c r="D473" t="s">
        <v>17</v>
      </c>
      <c r="E473" t="s">
        <v>36</v>
      </c>
      <c r="F473" t="s">
        <v>493</v>
      </c>
      <c r="G473">
        <v>9.9971999999999994</v>
      </c>
      <c r="H473" t="str">
        <f t="shared" si="8"/>
        <v>ok</v>
      </c>
    </row>
    <row r="474" spans="1:8" x14ac:dyDescent="0.3">
      <c r="A474" s="2">
        <v>46032</v>
      </c>
      <c r="B474" t="s">
        <v>12</v>
      </c>
      <c r="C474" t="s">
        <v>19</v>
      </c>
      <c r="D474" t="s">
        <v>34</v>
      </c>
      <c r="E474" t="s">
        <v>14</v>
      </c>
      <c r="F474" t="s">
        <v>494</v>
      </c>
      <c r="G474">
        <v>10.0601</v>
      </c>
      <c r="H474" t="str">
        <f t="shared" si="8"/>
        <v>ok</v>
      </c>
    </row>
    <row r="475" spans="1:8" x14ac:dyDescent="0.3">
      <c r="A475" s="2">
        <v>46032</v>
      </c>
      <c r="B475" t="s">
        <v>7</v>
      </c>
      <c r="C475" t="s">
        <v>16</v>
      </c>
      <c r="D475" t="s">
        <v>13</v>
      </c>
      <c r="E475" t="s">
        <v>14</v>
      </c>
      <c r="F475" t="s">
        <v>495</v>
      </c>
      <c r="G475">
        <v>10.022500000000001</v>
      </c>
      <c r="H475" t="str">
        <f t="shared" si="8"/>
        <v>ok</v>
      </c>
    </row>
    <row r="476" spans="1:8" x14ac:dyDescent="0.3">
      <c r="A476" s="2">
        <v>46032</v>
      </c>
      <c r="B476" t="s">
        <v>12</v>
      </c>
      <c r="C476" t="s">
        <v>16</v>
      </c>
      <c r="D476" t="s">
        <v>13</v>
      </c>
      <c r="E476" t="s">
        <v>28</v>
      </c>
      <c r="F476" t="s">
        <v>496</v>
      </c>
      <c r="G476">
        <v>10.015499999999999</v>
      </c>
      <c r="H476" t="str">
        <f t="shared" si="8"/>
        <v>ok</v>
      </c>
    </row>
    <row r="477" spans="1:8" x14ac:dyDescent="0.3">
      <c r="A477" s="2">
        <v>46032</v>
      </c>
      <c r="B477" t="s">
        <v>23</v>
      </c>
      <c r="C477" t="s">
        <v>16</v>
      </c>
      <c r="D477" t="s">
        <v>9</v>
      </c>
      <c r="E477" t="s">
        <v>21</v>
      </c>
      <c r="F477" t="s">
        <v>497</v>
      </c>
      <c r="G477">
        <v>10</v>
      </c>
      <c r="H477" t="str">
        <f t="shared" si="8"/>
        <v>ok</v>
      </c>
    </row>
    <row r="478" spans="1:8" x14ac:dyDescent="0.3">
      <c r="A478" s="2">
        <v>46032</v>
      </c>
      <c r="B478" t="s">
        <v>23</v>
      </c>
      <c r="C478" t="s">
        <v>8</v>
      </c>
      <c r="D478" t="s">
        <v>17</v>
      </c>
      <c r="E478" t="s">
        <v>36</v>
      </c>
      <c r="F478" t="s">
        <v>498</v>
      </c>
      <c r="G478">
        <v>10.001799999999999</v>
      </c>
      <c r="H478" t="str">
        <f t="shared" si="8"/>
        <v>ok</v>
      </c>
    </row>
    <row r="479" spans="1:8" x14ac:dyDescent="0.3">
      <c r="A479" s="2">
        <v>46032</v>
      </c>
      <c r="B479" t="s">
        <v>7</v>
      </c>
      <c r="C479" t="s">
        <v>8</v>
      </c>
      <c r="D479" t="s">
        <v>17</v>
      </c>
      <c r="E479" t="s">
        <v>14</v>
      </c>
      <c r="F479" t="s">
        <v>499</v>
      </c>
      <c r="G479">
        <v>10.0031</v>
      </c>
      <c r="H479" t="str">
        <f t="shared" si="8"/>
        <v>ok</v>
      </c>
    </row>
    <row r="480" spans="1:8" x14ac:dyDescent="0.3">
      <c r="A480" s="2">
        <v>46032</v>
      </c>
      <c r="B480" t="s">
        <v>12</v>
      </c>
      <c r="C480" t="s">
        <v>8</v>
      </c>
      <c r="D480" t="s">
        <v>34</v>
      </c>
      <c r="E480" t="s">
        <v>21</v>
      </c>
      <c r="F480" t="s">
        <v>500</v>
      </c>
      <c r="G480">
        <v>10.024800000000001</v>
      </c>
      <c r="H480" t="str">
        <f t="shared" si="8"/>
        <v>ok</v>
      </c>
    </row>
    <row r="481" spans="1:8" x14ac:dyDescent="0.3">
      <c r="A481" s="2">
        <v>46032</v>
      </c>
      <c r="B481" t="s">
        <v>12</v>
      </c>
      <c r="C481" t="s">
        <v>16</v>
      </c>
      <c r="D481" t="s">
        <v>34</v>
      </c>
      <c r="E481" t="s">
        <v>36</v>
      </c>
      <c r="F481" t="s">
        <v>501</v>
      </c>
      <c r="G481">
        <v>10.0181</v>
      </c>
      <c r="H481" t="str">
        <f t="shared" si="8"/>
        <v>ok</v>
      </c>
    </row>
    <row r="482" spans="1:8" x14ac:dyDescent="0.3">
      <c r="A482" s="2">
        <v>46032</v>
      </c>
      <c r="B482" t="s">
        <v>12</v>
      </c>
      <c r="C482" t="s">
        <v>16</v>
      </c>
      <c r="D482" t="s">
        <v>17</v>
      </c>
      <c r="E482" t="s">
        <v>21</v>
      </c>
      <c r="F482" t="s">
        <v>502</v>
      </c>
      <c r="G482">
        <v>10.008800000000001</v>
      </c>
      <c r="H482" t="str">
        <f t="shared" si="8"/>
        <v>ok</v>
      </c>
    </row>
    <row r="483" spans="1:8" x14ac:dyDescent="0.3">
      <c r="A483" s="2">
        <v>46032</v>
      </c>
      <c r="B483" t="s">
        <v>12</v>
      </c>
      <c r="C483" t="s">
        <v>19</v>
      </c>
      <c r="D483" t="s">
        <v>13</v>
      </c>
      <c r="E483" t="s">
        <v>21</v>
      </c>
      <c r="F483" t="s">
        <v>503</v>
      </c>
      <c r="G483">
        <v>10.0128</v>
      </c>
      <c r="H483" t="str">
        <f t="shared" si="8"/>
        <v>ok</v>
      </c>
    </row>
    <row r="484" spans="1:8" x14ac:dyDescent="0.3">
      <c r="A484" s="2">
        <v>46032</v>
      </c>
      <c r="B484" t="s">
        <v>23</v>
      </c>
      <c r="C484" t="s">
        <v>8</v>
      </c>
      <c r="D484" t="s">
        <v>17</v>
      </c>
      <c r="E484" t="s">
        <v>21</v>
      </c>
      <c r="F484" t="s">
        <v>504</v>
      </c>
      <c r="G484">
        <v>10.0023</v>
      </c>
      <c r="H484" t="str">
        <f t="shared" si="8"/>
        <v>ok</v>
      </c>
    </row>
    <row r="485" spans="1:8" x14ac:dyDescent="0.3">
      <c r="A485" s="2">
        <v>46032</v>
      </c>
      <c r="B485" t="s">
        <v>7</v>
      </c>
      <c r="C485" t="s">
        <v>16</v>
      </c>
      <c r="D485" t="s">
        <v>13</v>
      </c>
      <c r="E485" t="s">
        <v>36</v>
      </c>
      <c r="F485" t="s">
        <v>505</v>
      </c>
      <c r="G485">
        <v>10.016999999999999</v>
      </c>
      <c r="H485" t="str">
        <f t="shared" si="8"/>
        <v>ok</v>
      </c>
    </row>
    <row r="486" spans="1:8" x14ac:dyDescent="0.3">
      <c r="A486" s="2">
        <v>46032</v>
      </c>
      <c r="B486" t="s">
        <v>23</v>
      </c>
      <c r="C486" t="s">
        <v>8</v>
      </c>
      <c r="D486" t="s">
        <v>13</v>
      </c>
      <c r="E486" t="s">
        <v>10</v>
      </c>
      <c r="F486" t="s">
        <v>506</v>
      </c>
      <c r="G486">
        <v>9.9880999999999993</v>
      </c>
      <c r="H486" t="str">
        <f t="shared" si="8"/>
        <v>ok</v>
      </c>
    </row>
    <row r="487" spans="1:8" x14ac:dyDescent="0.3">
      <c r="A487" s="2">
        <v>46032</v>
      </c>
      <c r="B487" t="s">
        <v>23</v>
      </c>
      <c r="C487" t="s">
        <v>8</v>
      </c>
      <c r="D487" t="s">
        <v>13</v>
      </c>
      <c r="E487" t="s">
        <v>10</v>
      </c>
      <c r="F487" t="s">
        <v>507</v>
      </c>
      <c r="G487">
        <v>9.9893000000000001</v>
      </c>
      <c r="H487" t="str">
        <f t="shared" si="8"/>
        <v>ok</v>
      </c>
    </row>
    <row r="488" spans="1:8" x14ac:dyDescent="0.3">
      <c r="A488" s="2">
        <v>46032</v>
      </c>
      <c r="B488" t="s">
        <v>7</v>
      </c>
      <c r="C488" t="s">
        <v>8</v>
      </c>
      <c r="D488" t="s">
        <v>34</v>
      </c>
      <c r="E488" t="s">
        <v>14</v>
      </c>
      <c r="F488" t="s">
        <v>508</v>
      </c>
      <c r="G488">
        <v>9.9718999999999998</v>
      </c>
      <c r="H488" t="str">
        <f t="shared" si="8"/>
        <v>ok</v>
      </c>
    </row>
    <row r="489" spans="1:8" x14ac:dyDescent="0.3">
      <c r="A489" s="2">
        <v>46032</v>
      </c>
      <c r="B489" t="s">
        <v>7</v>
      </c>
      <c r="C489" t="s">
        <v>19</v>
      </c>
      <c r="D489" t="s">
        <v>9</v>
      </c>
      <c r="E489" t="s">
        <v>21</v>
      </c>
      <c r="F489" t="s">
        <v>509</v>
      </c>
      <c r="G489">
        <v>10.003399999999999</v>
      </c>
      <c r="H489" t="str">
        <f t="shared" si="8"/>
        <v>ok</v>
      </c>
    </row>
    <row r="490" spans="1:8" x14ac:dyDescent="0.3">
      <c r="A490" s="2">
        <v>46032</v>
      </c>
      <c r="B490" t="s">
        <v>7</v>
      </c>
      <c r="C490" t="s">
        <v>8</v>
      </c>
      <c r="D490" t="s">
        <v>17</v>
      </c>
      <c r="E490" t="s">
        <v>36</v>
      </c>
      <c r="F490" t="s">
        <v>510</v>
      </c>
      <c r="G490">
        <v>10.0289</v>
      </c>
      <c r="H490" t="str">
        <f t="shared" si="8"/>
        <v>ok</v>
      </c>
    </row>
    <row r="491" spans="1:8" x14ac:dyDescent="0.3">
      <c r="A491" s="2">
        <v>46032</v>
      </c>
      <c r="B491" t="s">
        <v>7</v>
      </c>
      <c r="C491" t="s">
        <v>16</v>
      </c>
      <c r="D491" t="s">
        <v>17</v>
      </c>
      <c r="E491" t="s">
        <v>28</v>
      </c>
      <c r="F491" t="s">
        <v>511</v>
      </c>
      <c r="G491">
        <v>10.0406</v>
      </c>
      <c r="H491" t="str">
        <f t="shared" si="8"/>
        <v>ok</v>
      </c>
    </row>
    <row r="492" spans="1:8" x14ac:dyDescent="0.3">
      <c r="A492" s="2">
        <v>46032</v>
      </c>
      <c r="B492" t="s">
        <v>7</v>
      </c>
      <c r="C492" t="s">
        <v>19</v>
      </c>
      <c r="D492" t="s">
        <v>9</v>
      </c>
      <c r="E492" t="s">
        <v>36</v>
      </c>
      <c r="F492" t="s">
        <v>512</v>
      </c>
      <c r="G492">
        <v>10.012600000000001</v>
      </c>
      <c r="H492" t="str">
        <f t="shared" si="8"/>
        <v>ok</v>
      </c>
    </row>
    <row r="493" spans="1:8" x14ac:dyDescent="0.3">
      <c r="A493" s="2">
        <v>46032</v>
      </c>
      <c r="B493" t="s">
        <v>12</v>
      </c>
      <c r="C493" t="s">
        <v>19</v>
      </c>
      <c r="D493" t="s">
        <v>17</v>
      </c>
      <c r="E493" t="s">
        <v>28</v>
      </c>
      <c r="F493" t="s">
        <v>513</v>
      </c>
      <c r="G493">
        <v>9.9879999999999995</v>
      </c>
      <c r="H493" t="str">
        <f t="shared" si="8"/>
        <v>ok</v>
      </c>
    </row>
    <row r="494" spans="1:8" x14ac:dyDescent="0.3">
      <c r="A494" s="2">
        <v>46032</v>
      </c>
      <c r="B494" t="s">
        <v>23</v>
      </c>
      <c r="C494" t="s">
        <v>19</v>
      </c>
      <c r="D494" t="s">
        <v>17</v>
      </c>
      <c r="E494" t="s">
        <v>36</v>
      </c>
      <c r="F494" t="s">
        <v>514</v>
      </c>
      <c r="G494">
        <v>10.0054</v>
      </c>
      <c r="H494" t="str">
        <f t="shared" si="8"/>
        <v>ok</v>
      </c>
    </row>
    <row r="495" spans="1:8" x14ac:dyDescent="0.3">
      <c r="A495" s="2">
        <v>46032</v>
      </c>
      <c r="B495" t="s">
        <v>12</v>
      </c>
      <c r="C495" t="s">
        <v>16</v>
      </c>
      <c r="D495" t="s">
        <v>13</v>
      </c>
      <c r="E495" t="s">
        <v>21</v>
      </c>
      <c r="F495" t="s">
        <v>515</v>
      </c>
      <c r="G495">
        <v>10.0661</v>
      </c>
      <c r="H495" t="str">
        <f t="shared" si="8"/>
        <v>ok</v>
      </c>
    </row>
    <row r="496" spans="1:8" x14ac:dyDescent="0.3">
      <c r="A496" s="2">
        <v>46032</v>
      </c>
      <c r="B496" t="s">
        <v>7</v>
      </c>
      <c r="C496" t="s">
        <v>8</v>
      </c>
      <c r="D496" t="s">
        <v>34</v>
      </c>
      <c r="E496" t="s">
        <v>28</v>
      </c>
      <c r="F496" t="s">
        <v>516</v>
      </c>
      <c r="G496">
        <v>9.9893999999999998</v>
      </c>
      <c r="H496" t="str">
        <f t="shared" si="8"/>
        <v>ok</v>
      </c>
    </row>
    <row r="497" spans="1:8" x14ac:dyDescent="0.3">
      <c r="A497" s="2">
        <v>46032</v>
      </c>
      <c r="B497" t="s">
        <v>12</v>
      </c>
      <c r="C497" t="s">
        <v>16</v>
      </c>
      <c r="D497" t="s">
        <v>9</v>
      </c>
      <c r="E497" t="s">
        <v>14</v>
      </c>
      <c r="F497" t="s">
        <v>517</v>
      </c>
      <c r="G497">
        <v>10.045199999999999</v>
      </c>
      <c r="H497" t="str">
        <f t="shared" si="8"/>
        <v>ok</v>
      </c>
    </row>
    <row r="498" spans="1:8" x14ac:dyDescent="0.3">
      <c r="A498" s="2">
        <v>46032</v>
      </c>
      <c r="B498" t="s">
        <v>23</v>
      </c>
      <c r="C498" t="s">
        <v>16</v>
      </c>
      <c r="D498" t="s">
        <v>17</v>
      </c>
      <c r="E498" t="s">
        <v>14</v>
      </c>
      <c r="F498" t="s">
        <v>518</v>
      </c>
      <c r="G498">
        <v>9.9845000000000006</v>
      </c>
      <c r="H498" t="str">
        <f t="shared" si="8"/>
        <v>ok</v>
      </c>
    </row>
    <row r="499" spans="1:8" x14ac:dyDescent="0.3">
      <c r="A499" s="2">
        <v>46032</v>
      </c>
      <c r="B499" t="s">
        <v>12</v>
      </c>
      <c r="C499" t="s">
        <v>19</v>
      </c>
      <c r="D499" t="s">
        <v>17</v>
      </c>
      <c r="E499" t="s">
        <v>21</v>
      </c>
      <c r="F499" t="s">
        <v>519</v>
      </c>
      <c r="G499">
        <v>10.01</v>
      </c>
      <c r="H499" t="str">
        <f t="shared" si="8"/>
        <v>ok</v>
      </c>
    </row>
    <row r="500" spans="1:8" x14ac:dyDescent="0.3">
      <c r="A500" s="2">
        <v>46032</v>
      </c>
      <c r="B500" t="s">
        <v>12</v>
      </c>
      <c r="C500" t="s">
        <v>19</v>
      </c>
      <c r="D500" t="s">
        <v>13</v>
      </c>
      <c r="E500" t="s">
        <v>36</v>
      </c>
      <c r="F500" t="s">
        <v>520</v>
      </c>
      <c r="G500">
        <v>10.070600000000001</v>
      </c>
      <c r="H500" t="str">
        <f t="shared" si="8"/>
        <v>ok</v>
      </c>
    </row>
    <row r="501" spans="1:8" x14ac:dyDescent="0.3">
      <c r="A501" s="2">
        <v>46032</v>
      </c>
      <c r="B501" t="s">
        <v>12</v>
      </c>
      <c r="C501" t="s">
        <v>19</v>
      </c>
      <c r="D501" t="s">
        <v>9</v>
      </c>
      <c r="E501" t="s">
        <v>28</v>
      </c>
      <c r="F501" t="s">
        <v>521</v>
      </c>
      <c r="G501">
        <v>10.013400000000001</v>
      </c>
      <c r="H501" t="str">
        <f t="shared" si="8"/>
        <v>ok</v>
      </c>
    </row>
    <row r="502" spans="1:8" x14ac:dyDescent="0.3">
      <c r="A502" s="2">
        <v>46033</v>
      </c>
      <c r="B502" t="s">
        <v>23</v>
      </c>
      <c r="C502" t="s">
        <v>8</v>
      </c>
      <c r="D502" t="s">
        <v>13</v>
      </c>
      <c r="E502" t="s">
        <v>14</v>
      </c>
      <c r="F502" t="s">
        <v>522</v>
      </c>
      <c r="G502">
        <v>9.9884000000000004</v>
      </c>
      <c r="H502" t="str">
        <f t="shared" si="8"/>
        <v>ok</v>
      </c>
    </row>
    <row r="503" spans="1:8" x14ac:dyDescent="0.3">
      <c r="A503" s="2">
        <v>46033</v>
      </c>
      <c r="B503" t="s">
        <v>7</v>
      </c>
      <c r="C503" t="s">
        <v>19</v>
      </c>
      <c r="D503" t="s">
        <v>34</v>
      </c>
      <c r="E503" t="s">
        <v>21</v>
      </c>
      <c r="F503" t="s">
        <v>523</v>
      </c>
      <c r="G503">
        <v>10.0036</v>
      </c>
      <c r="H503" t="str">
        <f t="shared" si="8"/>
        <v>ok</v>
      </c>
    </row>
    <row r="504" spans="1:8" x14ac:dyDescent="0.3">
      <c r="A504" s="2">
        <v>46033</v>
      </c>
      <c r="B504" t="s">
        <v>23</v>
      </c>
      <c r="C504" t="s">
        <v>16</v>
      </c>
      <c r="D504" t="s">
        <v>34</v>
      </c>
      <c r="E504" t="s">
        <v>28</v>
      </c>
      <c r="F504" t="s">
        <v>524</v>
      </c>
      <c r="G504">
        <v>9.9974000000000007</v>
      </c>
      <c r="H504" t="str">
        <f t="shared" si="8"/>
        <v>ok</v>
      </c>
    </row>
    <row r="505" spans="1:8" x14ac:dyDescent="0.3">
      <c r="A505" s="2">
        <v>46033</v>
      </c>
      <c r="B505" t="s">
        <v>12</v>
      </c>
      <c r="C505" t="s">
        <v>8</v>
      </c>
      <c r="D505" t="s">
        <v>9</v>
      </c>
      <c r="E505" t="s">
        <v>36</v>
      </c>
      <c r="F505" t="s">
        <v>525</v>
      </c>
      <c r="G505">
        <v>10.0222</v>
      </c>
      <c r="H505" t="str">
        <f t="shared" si="8"/>
        <v>ok</v>
      </c>
    </row>
    <row r="506" spans="1:8" x14ac:dyDescent="0.3">
      <c r="A506" s="2">
        <v>46033</v>
      </c>
      <c r="B506" t="s">
        <v>12</v>
      </c>
      <c r="C506" t="s">
        <v>19</v>
      </c>
      <c r="D506" t="s">
        <v>17</v>
      </c>
      <c r="E506" t="s">
        <v>10</v>
      </c>
      <c r="F506" t="s">
        <v>526</v>
      </c>
      <c r="G506">
        <v>10.0593</v>
      </c>
      <c r="H506" t="str">
        <f t="shared" si="8"/>
        <v>ok</v>
      </c>
    </row>
    <row r="507" spans="1:8" x14ac:dyDescent="0.3">
      <c r="A507" s="2">
        <v>46033</v>
      </c>
      <c r="B507" t="s">
        <v>12</v>
      </c>
      <c r="C507" t="s">
        <v>16</v>
      </c>
      <c r="D507" t="s">
        <v>13</v>
      </c>
      <c r="E507" t="s">
        <v>10</v>
      </c>
      <c r="F507" t="s">
        <v>527</v>
      </c>
      <c r="G507">
        <v>10.056900000000001</v>
      </c>
      <c r="H507" t="str">
        <f t="shared" si="8"/>
        <v>ok</v>
      </c>
    </row>
    <row r="508" spans="1:8" x14ac:dyDescent="0.3">
      <c r="A508" s="2">
        <v>46033</v>
      </c>
      <c r="B508" t="s">
        <v>23</v>
      </c>
      <c r="C508" t="s">
        <v>19</v>
      </c>
      <c r="D508" t="s">
        <v>13</v>
      </c>
      <c r="E508" t="s">
        <v>28</v>
      </c>
      <c r="F508" t="s">
        <v>528</v>
      </c>
      <c r="G508">
        <v>9.9748999999999999</v>
      </c>
      <c r="H508" t="str">
        <f t="shared" si="8"/>
        <v>ok</v>
      </c>
    </row>
    <row r="509" spans="1:8" x14ac:dyDescent="0.3">
      <c r="A509" s="2">
        <v>46033</v>
      </c>
      <c r="B509" t="s">
        <v>7</v>
      </c>
      <c r="C509" t="s">
        <v>8</v>
      </c>
      <c r="D509" t="s">
        <v>13</v>
      </c>
      <c r="E509" t="s">
        <v>14</v>
      </c>
      <c r="F509" t="s">
        <v>529</v>
      </c>
      <c r="G509">
        <v>9.9906000000000006</v>
      </c>
      <c r="H509" t="str">
        <f t="shared" si="8"/>
        <v>ok</v>
      </c>
    </row>
    <row r="510" spans="1:8" x14ac:dyDescent="0.3">
      <c r="A510" s="2">
        <v>46033</v>
      </c>
      <c r="B510" t="s">
        <v>7</v>
      </c>
      <c r="C510" t="s">
        <v>8</v>
      </c>
      <c r="D510" t="s">
        <v>34</v>
      </c>
      <c r="E510" t="s">
        <v>28</v>
      </c>
      <c r="F510" t="s">
        <v>530</v>
      </c>
      <c r="G510">
        <v>10.0053</v>
      </c>
      <c r="H510" t="str">
        <f t="shared" si="8"/>
        <v>ok</v>
      </c>
    </row>
    <row r="511" spans="1:8" x14ac:dyDescent="0.3">
      <c r="A511" s="2">
        <v>46033</v>
      </c>
      <c r="B511" t="s">
        <v>7</v>
      </c>
      <c r="C511" t="s">
        <v>8</v>
      </c>
      <c r="D511" t="s">
        <v>17</v>
      </c>
      <c r="E511" t="s">
        <v>21</v>
      </c>
      <c r="F511" t="s">
        <v>531</v>
      </c>
      <c r="G511">
        <v>9.9893000000000001</v>
      </c>
      <c r="H511" t="str">
        <f t="shared" si="8"/>
        <v>ok</v>
      </c>
    </row>
    <row r="512" spans="1:8" x14ac:dyDescent="0.3">
      <c r="A512" s="2">
        <v>46033</v>
      </c>
      <c r="B512" t="s">
        <v>12</v>
      </c>
      <c r="C512" t="s">
        <v>8</v>
      </c>
      <c r="D512" t="s">
        <v>9</v>
      </c>
      <c r="E512" t="s">
        <v>10</v>
      </c>
      <c r="F512" t="s">
        <v>532</v>
      </c>
      <c r="G512">
        <v>10.000299999999999</v>
      </c>
      <c r="H512" t="str">
        <f t="shared" si="8"/>
        <v>ok</v>
      </c>
    </row>
    <row r="513" spans="1:8" x14ac:dyDescent="0.3">
      <c r="A513" s="2">
        <v>46033</v>
      </c>
      <c r="B513" t="s">
        <v>12</v>
      </c>
      <c r="C513" t="s">
        <v>8</v>
      </c>
      <c r="D513" t="s">
        <v>34</v>
      </c>
      <c r="E513" t="s">
        <v>10</v>
      </c>
      <c r="F513" t="s">
        <v>533</v>
      </c>
      <c r="G513">
        <v>10.0649</v>
      </c>
      <c r="H513" t="str">
        <f t="shared" si="8"/>
        <v>ok</v>
      </c>
    </row>
    <row r="514" spans="1:8" x14ac:dyDescent="0.3">
      <c r="A514" s="2">
        <v>46033</v>
      </c>
      <c r="B514" t="s">
        <v>12</v>
      </c>
      <c r="C514" t="s">
        <v>16</v>
      </c>
      <c r="D514" t="s">
        <v>13</v>
      </c>
      <c r="E514" t="s">
        <v>36</v>
      </c>
      <c r="F514" t="s">
        <v>534</v>
      </c>
      <c r="G514">
        <v>10.0596</v>
      </c>
      <c r="H514" t="str">
        <f t="shared" si="8"/>
        <v>ok</v>
      </c>
    </row>
    <row r="515" spans="1:8" x14ac:dyDescent="0.3">
      <c r="A515" s="2">
        <v>46033</v>
      </c>
      <c r="B515" t="s">
        <v>23</v>
      </c>
      <c r="C515" t="s">
        <v>19</v>
      </c>
      <c r="D515" t="s">
        <v>13</v>
      </c>
      <c r="E515" t="s">
        <v>21</v>
      </c>
      <c r="F515" t="s">
        <v>535</v>
      </c>
      <c r="G515">
        <v>10.010999999999999</v>
      </c>
      <c r="H515" t="str">
        <f t="shared" si="8"/>
        <v>ok</v>
      </c>
    </row>
    <row r="516" spans="1:8" x14ac:dyDescent="0.3">
      <c r="A516" s="2">
        <v>46033</v>
      </c>
      <c r="B516" t="s">
        <v>23</v>
      </c>
      <c r="C516" t="s">
        <v>8</v>
      </c>
      <c r="D516" t="s">
        <v>9</v>
      </c>
      <c r="E516" t="s">
        <v>14</v>
      </c>
      <c r="F516" t="s">
        <v>536</v>
      </c>
      <c r="G516">
        <v>10.006600000000001</v>
      </c>
      <c r="H516" t="str">
        <f t="shared" si="8"/>
        <v>ok</v>
      </c>
    </row>
    <row r="517" spans="1:8" x14ac:dyDescent="0.3">
      <c r="A517" s="2">
        <v>46033</v>
      </c>
      <c r="B517" t="s">
        <v>12</v>
      </c>
      <c r="C517" t="s">
        <v>16</v>
      </c>
      <c r="D517" t="s">
        <v>34</v>
      </c>
      <c r="E517" t="s">
        <v>14</v>
      </c>
      <c r="F517" t="s">
        <v>537</v>
      </c>
      <c r="G517">
        <v>10.0183</v>
      </c>
      <c r="H517" t="str">
        <f t="shared" si="8"/>
        <v>ok</v>
      </c>
    </row>
    <row r="518" spans="1:8" x14ac:dyDescent="0.3">
      <c r="A518" s="2">
        <v>46033</v>
      </c>
      <c r="B518" t="s">
        <v>12</v>
      </c>
      <c r="C518" t="s">
        <v>19</v>
      </c>
      <c r="D518" t="s">
        <v>17</v>
      </c>
      <c r="E518" t="s">
        <v>21</v>
      </c>
      <c r="F518" t="s">
        <v>538</v>
      </c>
      <c r="G518">
        <v>10.048500000000001</v>
      </c>
      <c r="H518" t="str">
        <f t="shared" ref="H518:H581" si="9">IF(OR(G518&gt;10.5,G518&lt;9.95),"Defect","ok")</f>
        <v>ok</v>
      </c>
    </row>
    <row r="519" spans="1:8" x14ac:dyDescent="0.3">
      <c r="A519" s="2">
        <v>46033</v>
      </c>
      <c r="B519" t="s">
        <v>12</v>
      </c>
      <c r="C519" t="s">
        <v>8</v>
      </c>
      <c r="D519" t="s">
        <v>34</v>
      </c>
      <c r="E519" t="s">
        <v>21</v>
      </c>
      <c r="F519" t="s">
        <v>539</v>
      </c>
      <c r="G519">
        <v>10.0304</v>
      </c>
      <c r="H519" t="str">
        <f t="shared" si="9"/>
        <v>ok</v>
      </c>
    </row>
    <row r="520" spans="1:8" x14ac:dyDescent="0.3">
      <c r="A520" s="2">
        <v>46033</v>
      </c>
      <c r="B520" t="s">
        <v>12</v>
      </c>
      <c r="C520" t="s">
        <v>8</v>
      </c>
      <c r="D520" t="s">
        <v>34</v>
      </c>
      <c r="E520" t="s">
        <v>14</v>
      </c>
      <c r="F520" t="s">
        <v>540</v>
      </c>
      <c r="G520">
        <v>10.0457</v>
      </c>
      <c r="H520" t="str">
        <f t="shared" si="9"/>
        <v>ok</v>
      </c>
    </row>
    <row r="521" spans="1:8" x14ac:dyDescent="0.3">
      <c r="A521" s="2">
        <v>46033</v>
      </c>
      <c r="B521" t="s">
        <v>23</v>
      </c>
      <c r="C521" t="s">
        <v>16</v>
      </c>
      <c r="D521" t="s">
        <v>9</v>
      </c>
      <c r="E521" t="s">
        <v>21</v>
      </c>
      <c r="F521" t="s">
        <v>541</v>
      </c>
      <c r="G521">
        <v>9.9771000000000001</v>
      </c>
      <c r="H521" t="str">
        <f t="shared" si="9"/>
        <v>ok</v>
      </c>
    </row>
    <row r="522" spans="1:8" x14ac:dyDescent="0.3">
      <c r="A522" s="2">
        <v>46033</v>
      </c>
      <c r="B522" t="s">
        <v>7</v>
      </c>
      <c r="C522" t="s">
        <v>16</v>
      </c>
      <c r="D522" t="s">
        <v>34</v>
      </c>
      <c r="E522" t="s">
        <v>28</v>
      </c>
      <c r="F522" t="s">
        <v>542</v>
      </c>
      <c r="G522">
        <v>9.9785000000000004</v>
      </c>
      <c r="H522" t="str">
        <f t="shared" si="9"/>
        <v>ok</v>
      </c>
    </row>
    <row r="523" spans="1:8" x14ac:dyDescent="0.3">
      <c r="A523" s="2">
        <v>46033</v>
      </c>
      <c r="B523" t="s">
        <v>23</v>
      </c>
      <c r="C523" t="s">
        <v>16</v>
      </c>
      <c r="D523" t="s">
        <v>9</v>
      </c>
      <c r="E523" t="s">
        <v>10</v>
      </c>
      <c r="F523" t="s">
        <v>543</v>
      </c>
      <c r="G523">
        <v>10.01</v>
      </c>
      <c r="H523" t="str">
        <f t="shared" si="9"/>
        <v>ok</v>
      </c>
    </row>
    <row r="524" spans="1:8" x14ac:dyDescent="0.3">
      <c r="A524" s="2">
        <v>46033</v>
      </c>
      <c r="B524" t="s">
        <v>23</v>
      </c>
      <c r="C524" t="s">
        <v>8</v>
      </c>
      <c r="D524" t="s">
        <v>13</v>
      </c>
      <c r="E524" t="s">
        <v>36</v>
      </c>
      <c r="F524" t="s">
        <v>544</v>
      </c>
      <c r="G524">
        <v>10.010400000000001</v>
      </c>
      <c r="H524" t="str">
        <f t="shared" si="9"/>
        <v>ok</v>
      </c>
    </row>
    <row r="525" spans="1:8" x14ac:dyDescent="0.3">
      <c r="A525" s="2">
        <v>46033</v>
      </c>
      <c r="B525" t="s">
        <v>12</v>
      </c>
      <c r="C525" t="s">
        <v>16</v>
      </c>
      <c r="D525" t="s">
        <v>34</v>
      </c>
      <c r="E525" t="s">
        <v>10</v>
      </c>
      <c r="F525" t="s">
        <v>545</v>
      </c>
      <c r="G525">
        <v>10.085699999999999</v>
      </c>
      <c r="H525" t="str">
        <f t="shared" si="9"/>
        <v>ok</v>
      </c>
    </row>
    <row r="526" spans="1:8" x14ac:dyDescent="0.3">
      <c r="A526" s="2">
        <v>46033</v>
      </c>
      <c r="B526" t="s">
        <v>7</v>
      </c>
      <c r="C526" t="s">
        <v>8</v>
      </c>
      <c r="D526" t="s">
        <v>34</v>
      </c>
      <c r="E526" t="s">
        <v>21</v>
      </c>
      <c r="F526" t="s">
        <v>546</v>
      </c>
      <c r="G526">
        <v>9.9742999999999995</v>
      </c>
      <c r="H526" t="str">
        <f t="shared" si="9"/>
        <v>ok</v>
      </c>
    </row>
    <row r="527" spans="1:8" x14ac:dyDescent="0.3">
      <c r="A527" s="2">
        <v>46033</v>
      </c>
      <c r="B527" t="s">
        <v>23</v>
      </c>
      <c r="C527" t="s">
        <v>16</v>
      </c>
      <c r="D527" t="s">
        <v>9</v>
      </c>
      <c r="E527" t="s">
        <v>21</v>
      </c>
      <c r="F527" t="s">
        <v>547</v>
      </c>
      <c r="G527">
        <v>10.024699999999999</v>
      </c>
      <c r="H527" t="str">
        <f t="shared" si="9"/>
        <v>ok</v>
      </c>
    </row>
    <row r="528" spans="1:8" x14ac:dyDescent="0.3">
      <c r="A528" s="2">
        <v>46033</v>
      </c>
      <c r="B528" t="s">
        <v>7</v>
      </c>
      <c r="C528" t="s">
        <v>19</v>
      </c>
      <c r="D528" t="s">
        <v>17</v>
      </c>
      <c r="E528" t="s">
        <v>28</v>
      </c>
      <c r="F528" t="s">
        <v>548</v>
      </c>
      <c r="G528">
        <v>10.019299999999999</v>
      </c>
      <c r="H528" t="str">
        <f t="shared" si="9"/>
        <v>ok</v>
      </c>
    </row>
    <row r="529" spans="1:8" x14ac:dyDescent="0.3">
      <c r="A529" s="2">
        <v>46033</v>
      </c>
      <c r="B529" t="s">
        <v>23</v>
      </c>
      <c r="C529" t="s">
        <v>16</v>
      </c>
      <c r="D529" t="s">
        <v>34</v>
      </c>
      <c r="E529" t="s">
        <v>14</v>
      </c>
      <c r="F529" t="s">
        <v>549</v>
      </c>
      <c r="G529">
        <v>9.9855</v>
      </c>
      <c r="H529" t="str">
        <f t="shared" si="9"/>
        <v>ok</v>
      </c>
    </row>
    <row r="530" spans="1:8" x14ac:dyDescent="0.3">
      <c r="A530" s="2">
        <v>46033</v>
      </c>
      <c r="B530" t="s">
        <v>7</v>
      </c>
      <c r="C530" t="s">
        <v>19</v>
      </c>
      <c r="D530" t="s">
        <v>17</v>
      </c>
      <c r="E530" t="s">
        <v>28</v>
      </c>
      <c r="F530" t="s">
        <v>550</v>
      </c>
      <c r="G530">
        <v>10.005800000000001</v>
      </c>
      <c r="H530" t="str">
        <f t="shared" si="9"/>
        <v>ok</v>
      </c>
    </row>
    <row r="531" spans="1:8" x14ac:dyDescent="0.3">
      <c r="A531" s="2">
        <v>46033</v>
      </c>
      <c r="B531" t="s">
        <v>7</v>
      </c>
      <c r="C531" t="s">
        <v>16</v>
      </c>
      <c r="D531" t="s">
        <v>13</v>
      </c>
      <c r="E531" t="s">
        <v>36</v>
      </c>
      <c r="F531" t="s">
        <v>551</v>
      </c>
      <c r="G531">
        <v>10.005699999999999</v>
      </c>
      <c r="H531" t="str">
        <f t="shared" si="9"/>
        <v>ok</v>
      </c>
    </row>
    <row r="532" spans="1:8" x14ac:dyDescent="0.3">
      <c r="A532" s="2">
        <v>46033</v>
      </c>
      <c r="B532" t="s">
        <v>7</v>
      </c>
      <c r="C532" t="s">
        <v>16</v>
      </c>
      <c r="D532" t="s">
        <v>17</v>
      </c>
      <c r="E532" t="s">
        <v>14</v>
      </c>
      <c r="F532" t="s">
        <v>552</v>
      </c>
      <c r="G532">
        <v>9.9986999999999995</v>
      </c>
      <c r="H532" t="str">
        <f t="shared" si="9"/>
        <v>ok</v>
      </c>
    </row>
    <row r="533" spans="1:8" x14ac:dyDescent="0.3">
      <c r="A533" s="2">
        <v>46033</v>
      </c>
      <c r="B533" t="s">
        <v>7</v>
      </c>
      <c r="C533" t="s">
        <v>19</v>
      </c>
      <c r="D533" t="s">
        <v>34</v>
      </c>
      <c r="E533" t="s">
        <v>10</v>
      </c>
      <c r="F533" t="s">
        <v>553</v>
      </c>
      <c r="G533">
        <v>9.9906000000000006</v>
      </c>
      <c r="H533" t="str">
        <f t="shared" si="9"/>
        <v>ok</v>
      </c>
    </row>
    <row r="534" spans="1:8" x14ac:dyDescent="0.3">
      <c r="A534" s="2">
        <v>46033</v>
      </c>
      <c r="B534" t="s">
        <v>23</v>
      </c>
      <c r="C534" t="s">
        <v>19</v>
      </c>
      <c r="D534" t="s">
        <v>34</v>
      </c>
      <c r="E534" t="s">
        <v>10</v>
      </c>
      <c r="F534" t="s">
        <v>554</v>
      </c>
      <c r="G534">
        <v>9.9984999999999999</v>
      </c>
      <c r="H534" t="str">
        <f t="shared" si="9"/>
        <v>ok</v>
      </c>
    </row>
    <row r="535" spans="1:8" x14ac:dyDescent="0.3">
      <c r="A535" s="2">
        <v>46033</v>
      </c>
      <c r="B535" t="s">
        <v>12</v>
      </c>
      <c r="C535" t="s">
        <v>8</v>
      </c>
      <c r="D535" t="s">
        <v>34</v>
      </c>
      <c r="E535" t="s">
        <v>36</v>
      </c>
      <c r="F535" t="s">
        <v>555</v>
      </c>
      <c r="G535">
        <v>10.0044</v>
      </c>
      <c r="H535" t="str">
        <f t="shared" si="9"/>
        <v>ok</v>
      </c>
    </row>
    <row r="536" spans="1:8" x14ac:dyDescent="0.3">
      <c r="A536" s="2">
        <v>46033</v>
      </c>
      <c r="B536" t="s">
        <v>7</v>
      </c>
      <c r="C536" t="s">
        <v>19</v>
      </c>
      <c r="D536" t="s">
        <v>34</v>
      </c>
      <c r="E536" t="s">
        <v>21</v>
      </c>
      <c r="F536" t="s">
        <v>556</v>
      </c>
      <c r="G536">
        <v>10.0062</v>
      </c>
      <c r="H536" t="str">
        <f t="shared" si="9"/>
        <v>ok</v>
      </c>
    </row>
    <row r="537" spans="1:8" x14ac:dyDescent="0.3">
      <c r="A537" s="2">
        <v>46033</v>
      </c>
      <c r="B537" t="s">
        <v>23</v>
      </c>
      <c r="C537" t="s">
        <v>16</v>
      </c>
      <c r="D537" t="s">
        <v>17</v>
      </c>
      <c r="E537" t="s">
        <v>10</v>
      </c>
      <c r="F537" t="s">
        <v>557</v>
      </c>
      <c r="G537">
        <v>10.011100000000001</v>
      </c>
      <c r="H537" t="str">
        <f t="shared" si="9"/>
        <v>ok</v>
      </c>
    </row>
    <row r="538" spans="1:8" x14ac:dyDescent="0.3">
      <c r="A538" s="2">
        <v>46033</v>
      </c>
      <c r="B538" t="s">
        <v>23</v>
      </c>
      <c r="C538" t="s">
        <v>16</v>
      </c>
      <c r="D538" t="s">
        <v>17</v>
      </c>
      <c r="E538" t="s">
        <v>36</v>
      </c>
      <c r="F538" t="s">
        <v>558</v>
      </c>
      <c r="G538">
        <v>9.9766999999999992</v>
      </c>
      <c r="H538" t="str">
        <f t="shared" si="9"/>
        <v>ok</v>
      </c>
    </row>
    <row r="539" spans="1:8" x14ac:dyDescent="0.3">
      <c r="A539" s="2">
        <v>46033</v>
      </c>
      <c r="B539" t="s">
        <v>23</v>
      </c>
      <c r="C539" t="s">
        <v>16</v>
      </c>
      <c r="D539" t="s">
        <v>17</v>
      </c>
      <c r="E539" t="s">
        <v>14</v>
      </c>
      <c r="F539" t="s">
        <v>559</v>
      </c>
      <c r="G539">
        <v>9.9987999999999992</v>
      </c>
      <c r="H539" t="str">
        <f t="shared" si="9"/>
        <v>ok</v>
      </c>
    </row>
    <row r="540" spans="1:8" x14ac:dyDescent="0.3">
      <c r="A540" s="2">
        <v>46033</v>
      </c>
      <c r="B540" t="s">
        <v>7</v>
      </c>
      <c r="C540" t="s">
        <v>16</v>
      </c>
      <c r="D540" t="s">
        <v>9</v>
      </c>
      <c r="E540" t="s">
        <v>10</v>
      </c>
      <c r="F540" t="s">
        <v>560</v>
      </c>
      <c r="G540">
        <v>10.0161</v>
      </c>
      <c r="H540" t="str">
        <f t="shared" si="9"/>
        <v>ok</v>
      </c>
    </row>
    <row r="541" spans="1:8" x14ac:dyDescent="0.3">
      <c r="A541" s="2">
        <v>46033</v>
      </c>
      <c r="B541" t="s">
        <v>23</v>
      </c>
      <c r="C541" t="s">
        <v>16</v>
      </c>
      <c r="D541" t="s">
        <v>17</v>
      </c>
      <c r="E541" t="s">
        <v>28</v>
      </c>
      <c r="F541" t="s">
        <v>561</v>
      </c>
      <c r="G541">
        <v>10.034700000000001</v>
      </c>
      <c r="H541" t="str">
        <f t="shared" si="9"/>
        <v>ok</v>
      </c>
    </row>
    <row r="542" spans="1:8" x14ac:dyDescent="0.3">
      <c r="A542" s="2">
        <v>46033</v>
      </c>
      <c r="B542" t="s">
        <v>23</v>
      </c>
      <c r="C542" t="s">
        <v>19</v>
      </c>
      <c r="D542" t="s">
        <v>9</v>
      </c>
      <c r="E542" t="s">
        <v>36</v>
      </c>
      <c r="F542" t="s">
        <v>562</v>
      </c>
      <c r="G542">
        <v>9.9666999999999994</v>
      </c>
      <c r="H542" t="str">
        <f t="shared" si="9"/>
        <v>ok</v>
      </c>
    </row>
    <row r="543" spans="1:8" x14ac:dyDescent="0.3">
      <c r="A543" s="2">
        <v>46033</v>
      </c>
      <c r="B543" t="s">
        <v>7</v>
      </c>
      <c r="C543" t="s">
        <v>16</v>
      </c>
      <c r="D543" t="s">
        <v>34</v>
      </c>
      <c r="E543" t="s">
        <v>28</v>
      </c>
      <c r="F543" t="s">
        <v>563</v>
      </c>
      <c r="G543">
        <v>9.9690999999999992</v>
      </c>
      <c r="H543" t="str">
        <f t="shared" si="9"/>
        <v>ok</v>
      </c>
    </row>
    <row r="544" spans="1:8" x14ac:dyDescent="0.3">
      <c r="A544" s="2">
        <v>46033</v>
      </c>
      <c r="B544" t="s">
        <v>23</v>
      </c>
      <c r="C544" t="s">
        <v>8</v>
      </c>
      <c r="D544" t="s">
        <v>9</v>
      </c>
      <c r="E544" t="s">
        <v>36</v>
      </c>
      <c r="F544" t="s">
        <v>564</v>
      </c>
      <c r="G544">
        <v>9.9860000000000007</v>
      </c>
      <c r="H544" t="str">
        <f t="shared" si="9"/>
        <v>ok</v>
      </c>
    </row>
    <row r="545" spans="1:8" x14ac:dyDescent="0.3">
      <c r="A545" s="2">
        <v>46033</v>
      </c>
      <c r="B545" t="s">
        <v>12</v>
      </c>
      <c r="C545" t="s">
        <v>16</v>
      </c>
      <c r="D545" t="s">
        <v>34</v>
      </c>
      <c r="E545" t="s">
        <v>10</v>
      </c>
      <c r="F545" t="s">
        <v>565</v>
      </c>
      <c r="G545">
        <v>10.0311</v>
      </c>
      <c r="H545" t="str">
        <f t="shared" si="9"/>
        <v>ok</v>
      </c>
    </row>
    <row r="546" spans="1:8" x14ac:dyDescent="0.3">
      <c r="A546" s="2">
        <v>46033</v>
      </c>
      <c r="B546" t="s">
        <v>23</v>
      </c>
      <c r="C546" t="s">
        <v>19</v>
      </c>
      <c r="D546" t="s">
        <v>9</v>
      </c>
      <c r="E546" t="s">
        <v>21</v>
      </c>
      <c r="F546" t="s">
        <v>566</v>
      </c>
      <c r="G546">
        <v>9.9960000000000004</v>
      </c>
      <c r="H546" t="str">
        <f t="shared" si="9"/>
        <v>ok</v>
      </c>
    </row>
    <row r="547" spans="1:8" x14ac:dyDescent="0.3">
      <c r="A547" s="2">
        <v>46033</v>
      </c>
      <c r="B547" t="s">
        <v>12</v>
      </c>
      <c r="C547" t="s">
        <v>16</v>
      </c>
      <c r="D547" t="s">
        <v>13</v>
      </c>
      <c r="E547" t="s">
        <v>28</v>
      </c>
      <c r="F547" t="s">
        <v>567</v>
      </c>
      <c r="G547">
        <v>10.005800000000001</v>
      </c>
      <c r="H547" t="str">
        <f t="shared" si="9"/>
        <v>ok</v>
      </c>
    </row>
    <row r="548" spans="1:8" x14ac:dyDescent="0.3">
      <c r="A548" s="2">
        <v>46033</v>
      </c>
      <c r="B548" t="s">
        <v>23</v>
      </c>
      <c r="C548" t="s">
        <v>8</v>
      </c>
      <c r="D548" t="s">
        <v>13</v>
      </c>
      <c r="E548" t="s">
        <v>10</v>
      </c>
      <c r="F548" t="s">
        <v>568</v>
      </c>
      <c r="G548">
        <v>9.9834999999999994</v>
      </c>
      <c r="H548" t="str">
        <f t="shared" si="9"/>
        <v>ok</v>
      </c>
    </row>
    <row r="549" spans="1:8" x14ac:dyDescent="0.3">
      <c r="A549" s="2">
        <v>46033</v>
      </c>
      <c r="B549" t="s">
        <v>7</v>
      </c>
      <c r="C549" t="s">
        <v>19</v>
      </c>
      <c r="D549" t="s">
        <v>34</v>
      </c>
      <c r="E549" t="s">
        <v>36</v>
      </c>
      <c r="F549" t="s">
        <v>569</v>
      </c>
      <c r="G549">
        <v>9.9818999999999996</v>
      </c>
      <c r="H549" t="str">
        <f t="shared" si="9"/>
        <v>ok</v>
      </c>
    </row>
    <row r="550" spans="1:8" x14ac:dyDescent="0.3">
      <c r="A550" s="2">
        <v>46033</v>
      </c>
      <c r="B550" t="s">
        <v>7</v>
      </c>
      <c r="C550" t="s">
        <v>16</v>
      </c>
      <c r="D550" t="s">
        <v>34</v>
      </c>
      <c r="E550" t="s">
        <v>21</v>
      </c>
      <c r="F550" t="s">
        <v>570</v>
      </c>
      <c r="G550">
        <v>9.9963999999999995</v>
      </c>
      <c r="H550" t="str">
        <f t="shared" si="9"/>
        <v>ok</v>
      </c>
    </row>
    <row r="551" spans="1:8" x14ac:dyDescent="0.3">
      <c r="A551" s="2">
        <v>46033</v>
      </c>
      <c r="B551" t="s">
        <v>23</v>
      </c>
      <c r="C551" t="s">
        <v>8</v>
      </c>
      <c r="D551" t="s">
        <v>13</v>
      </c>
      <c r="E551" t="s">
        <v>28</v>
      </c>
      <c r="F551" t="s">
        <v>571</v>
      </c>
      <c r="G551">
        <v>10.0207</v>
      </c>
      <c r="H551" t="str">
        <f t="shared" si="9"/>
        <v>ok</v>
      </c>
    </row>
    <row r="552" spans="1:8" x14ac:dyDescent="0.3">
      <c r="A552" s="2">
        <v>46034</v>
      </c>
      <c r="B552" t="s">
        <v>12</v>
      </c>
      <c r="C552" t="s">
        <v>16</v>
      </c>
      <c r="D552" t="s">
        <v>13</v>
      </c>
      <c r="E552" t="s">
        <v>21</v>
      </c>
      <c r="F552" t="s">
        <v>572</v>
      </c>
      <c r="G552">
        <v>10.074400000000001</v>
      </c>
      <c r="H552" t="str">
        <f t="shared" si="9"/>
        <v>ok</v>
      </c>
    </row>
    <row r="553" spans="1:8" x14ac:dyDescent="0.3">
      <c r="A553" s="2">
        <v>46034</v>
      </c>
      <c r="B553" t="s">
        <v>23</v>
      </c>
      <c r="C553" t="s">
        <v>19</v>
      </c>
      <c r="D553" t="s">
        <v>17</v>
      </c>
      <c r="E553" t="s">
        <v>10</v>
      </c>
      <c r="F553" t="s">
        <v>573</v>
      </c>
      <c r="G553">
        <v>10.0305</v>
      </c>
      <c r="H553" t="str">
        <f t="shared" si="9"/>
        <v>ok</v>
      </c>
    </row>
    <row r="554" spans="1:8" x14ac:dyDescent="0.3">
      <c r="A554" s="2">
        <v>46034</v>
      </c>
      <c r="B554" t="s">
        <v>12</v>
      </c>
      <c r="C554" t="s">
        <v>16</v>
      </c>
      <c r="D554" t="s">
        <v>13</v>
      </c>
      <c r="E554" t="s">
        <v>36</v>
      </c>
      <c r="F554" t="s">
        <v>574</v>
      </c>
      <c r="G554">
        <v>10.007899999999999</v>
      </c>
      <c r="H554" t="str">
        <f t="shared" si="9"/>
        <v>ok</v>
      </c>
    </row>
    <row r="555" spans="1:8" x14ac:dyDescent="0.3">
      <c r="A555" s="2">
        <v>46034</v>
      </c>
      <c r="B555" t="s">
        <v>7</v>
      </c>
      <c r="C555" t="s">
        <v>8</v>
      </c>
      <c r="D555" t="s">
        <v>9</v>
      </c>
      <c r="E555" t="s">
        <v>21</v>
      </c>
      <c r="F555" t="s">
        <v>575</v>
      </c>
      <c r="G555">
        <v>10.0108</v>
      </c>
      <c r="H555" t="str">
        <f t="shared" si="9"/>
        <v>ok</v>
      </c>
    </row>
    <row r="556" spans="1:8" x14ac:dyDescent="0.3">
      <c r="A556" s="2">
        <v>46034</v>
      </c>
      <c r="B556" t="s">
        <v>12</v>
      </c>
      <c r="C556" t="s">
        <v>16</v>
      </c>
      <c r="D556" t="s">
        <v>13</v>
      </c>
      <c r="E556" t="s">
        <v>14</v>
      </c>
      <c r="F556" t="s">
        <v>576</v>
      </c>
      <c r="G556">
        <v>9.9893999999999998</v>
      </c>
      <c r="H556" t="str">
        <f t="shared" si="9"/>
        <v>ok</v>
      </c>
    </row>
    <row r="557" spans="1:8" x14ac:dyDescent="0.3">
      <c r="A557" s="2">
        <v>46034</v>
      </c>
      <c r="B557" t="s">
        <v>7</v>
      </c>
      <c r="C557" t="s">
        <v>16</v>
      </c>
      <c r="D557" t="s">
        <v>13</v>
      </c>
      <c r="E557" t="s">
        <v>28</v>
      </c>
      <c r="F557" t="s">
        <v>577</v>
      </c>
      <c r="G557">
        <v>10.0063</v>
      </c>
      <c r="H557" t="str">
        <f t="shared" si="9"/>
        <v>ok</v>
      </c>
    </row>
    <row r="558" spans="1:8" x14ac:dyDescent="0.3">
      <c r="A558" s="2">
        <v>46034</v>
      </c>
      <c r="B558" t="s">
        <v>12</v>
      </c>
      <c r="C558" t="s">
        <v>8</v>
      </c>
      <c r="D558" t="s">
        <v>9</v>
      </c>
      <c r="E558" t="s">
        <v>36</v>
      </c>
      <c r="F558" t="s">
        <v>578</v>
      </c>
      <c r="G558">
        <v>10.0639</v>
      </c>
      <c r="H558" t="str">
        <f t="shared" si="9"/>
        <v>ok</v>
      </c>
    </row>
    <row r="559" spans="1:8" x14ac:dyDescent="0.3">
      <c r="A559" s="2">
        <v>46034</v>
      </c>
      <c r="B559" t="s">
        <v>12</v>
      </c>
      <c r="C559" t="s">
        <v>16</v>
      </c>
      <c r="D559" t="s">
        <v>13</v>
      </c>
      <c r="E559" t="s">
        <v>21</v>
      </c>
      <c r="F559" t="s">
        <v>579</v>
      </c>
      <c r="G559">
        <v>9.9969999999999999</v>
      </c>
      <c r="H559" t="str">
        <f t="shared" si="9"/>
        <v>ok</v>
      </c>
    </row>
    <row r="560" spans="1:8" x14ac:dyDescent="0.3">
      <c r="A560" s="2">
        <v>46034</v>
      </c>
      <c r="B560" t="s">
        <v>12</v>
      </c>
      <c r="C560" t="s">
        <v>16</v>
      </c>
      <c r="D560" t="s">
        <v>13</v>
      </c>
      <c r="E560" t="s">
        <v>14</v>
      </c>
      <c r="F560" t="s">
        <v>580</v>
      </c>
      <c r="G560">
        <v>10.0002</v>
      </c>
      <c r="H560" t="str">
        <f t="shared" si="9"/>
        <v>ok</v>
      </c>
    </row>
    <row r="561" spans="1:8" x14ac:dyDescent="0.3">
      <c r="A561" s="2">
        <v>46034</v>
      </c>
      <c r="B561" t="s">
        <v>7</v>
      </c>
      <c r="C561" t="s">
        <v>16</v>
      </c>
      <c r="D561" t="s">
        <v>34</v>
      </c>
      <c r="E561" t="s">
        <v>14</v>
      </c>
      <c r="F561" t="s">
        <v>581</v>
      </c>
      <c r="G561">
        <v>10.000299999999999</v>
      </c>
      <c r="H561" t="str">
        <f t="shared" si="9"/>
        <v>ok</v>
      </c>
    </row>
    <row r="562" spans="1:8" x14ac:dyDescent="0.3">
      <c r="A562" s="2">
        <v>46034</v>
      </c>
      <c r="B562" t="s">
        <v>12</v>
      </c>
      <c r="C562" t="s">
        <v>19</v>
      </c>
      <c r="D562" t="s">
        <v>17</v>
      </c>
      <c r="E562" t="s">
        <v>28</v>
      </c>
      <c r="F562" t="s">
        <v>582</v>
      </c>
      <c r="G562">
        <v>9.9931000000000001</v>
      </c>
      <c r="H562" t="str">
        <f t="shared" si="9"/>
        <v>ok</v>
      </c>
    </row>
    <row r="563" spans="1:8" x14ac:dyDescent="0.3">
      <c r="A563" s="2">
        <v>46034</v>
      </c>
      <c r="B563" t="s">
        <v>23</v>
      </c>
      <c r="C563" t="s">
        <v>8</v>
      </c>
      <c r="D563" t="s">
        <v>9</v>
      </c>
      <c r="E563" t="s">
        <v>21</v>
      </c>
      <c r="F563" t="s">
        <v>583</v>
      </c>
      <c r="G563">
        <v>10.0023</v>
      </c>
      <c r="H563" t="str">
        <f t="shared" si="9"/>
        <v>ok</v>
      </c>
    </row>
    <row r="564" spans="1:8" x14ac:dyDescent="0.3">
      <c r="A564" s="2">
        <v>46034</v>
      </c>
      <c r="B564" t="s">
        <v>7</v>
      </c>
      <c r="C564" t="s">
        <v>16</v>
      </c>
      <c r="D564" t="s">
        <v>13</v>
      </c>
      <c r="E564" t="s">
        <v>14</v>
      </c>
      <c r="F564" t="s">
        <v>584</v>
      </c>
      <c r="G564">
        <v>9.9628999999999994</v>
      </c>
      <c r="H564" t="str">
        <f t="shared" si="9"/>
        <v>ok</v>
      </c>
    </row>
    <row r="565" spans="1:8" x14ac:dyDescent="0.3">
      <c r="A565" s="2">
        <v>46034</v>
      </c>
      <c r="B565" t="s">
        <v>23</v>
      </c>
      <c r="C565" t="s">
        <v>8</v>
      </c>
      <c r="D565" t="s">
        <v>9</v>
      </c>
      <c r="E565" t="s">
        <v>36</v>
      </c>
      <c r="F565" t="s">
        <v>585</v>
      </c>
      <c r="G565">
        <v>9.9735999999999994</v>
      </c>
      <c r="H565" t="str">
        <f t="shared" si="9"/>
        <v>ok</v>
      </c>
    </row>
    <row r="566" spans="1:8" x14ac:dyDescent="0.3">
      <c r="A566" s="2">
        <v>46034</v>
      </c>
      <c r="B566" t="s">
        <v>7</v>
      </c>
      <c r="C566" t="s">
        <v>8</v>
      </c>
      <c r="D566" t="s">
        <v>34</v>
      </c>
      <c r="E566" t="s">
        <v>10</v>
      </c>
      <c r="F566" t="s">
        <v>586</v>
      </c>
      <c r="G566">
        <v>9.9789999999999992</v>
      </c>
      <c r="H566" t="str">
        <f t="shared" si="9"/>
        <v>ok</v>
      </c>
    </row>
    <row r="567" spans="1:8" x14ac:dyDescent="0.3">
      <c r="A567" s="2">
        <v>46034</v>
      </c>
      <c r="B567" t="s">
        <v>23</v>
      </c>
      <c r="C567" t="s">
        <v>16</v>
      </c>
      <c r="D567" t="s">
        <v>34</v>
      </c>
      <c r="E567" t="s">
        <v>28</v>
      </c>
      <c r="F567" t="s">
        <v>587</v>
      </c>
      <c r="G567">
        <v>10.011900000000001</v>
      </c>
      <c r="H567" t="str">
        <f t="shared" si="9"/>
        <v>ok</v>
      </c>
    </row>
    <row r="568" spans="1:8" x14ac:dyDescent="0.3">
      <c r="A568" s="2">
        <v>46034</v>
      </c>
      <c r="B568" t="s">
        <v>7</v>
      </c>
      <c r="C568" t="s">
        <v>8</v>
      </c>
      <c r="D568" t="s">
        <v>9</v>
      </c>
      <c r="E568" t="s">
        <v>28</v>
      </c>
      <c r="F568" t="s">
        <v>588</v>
      </c>
      <c r="G568">
        <v>10.023099999999999</v>
      </c>
      <c r="H568" t="str">
        <f t="shared" si="9"/>
        <v>ok</v>
      </c>
    </row>
    <row r="569" spans="1:8" x14ac:dyDescent="0.3">
      <c r="A569" s="2">
        <v>46034</v>
      </c>
      <c r="B569" t="s">
        <v>23</v>
      </c>
      <c r="C569" t="s">
        <v>8</v>
      </c>
      <c r="D569" t="s">
        <v>34</v>
      </c>
      <c r="E569" t="s">
        <v>21</v>
      </c>
      <c r="F569" t="s">
        <v>589</v>
      </c>
      <c r="G569">
        <v>10.0105</v>
      </c>
      <c r="H569" t="str">
        <f t="shared" si="9"/>
        <v>ok</v>
      </c>
    </row>
    <row r="570" spans="1:8" x14ac:dyDescent="0.3">
      <c r="A570" s="2">
        <v>46034</v>
      </c>
      <c r="B570" t="s">
        <v>23</v>
      </c>
      <c r="C570" t="s">
        <v>19</v>
      </c>
      <c r="D570" t="s">
        <v>13</v>
      </c>
      <c r="E570" t="s">
        <v>21</v>
      </c>
      <c r="F570" t="s">
        <v>590</v>
      </c>
      <c r="G570">
        <v>9.9915000000000003</v>
      </c>
      <c r="H570" t="str">
        <f t="shared" si="9"/>
        <v>ok</v>
      </c>
    </row>
    <row r="571" spans="1:8" x14ac:dyDescent="0.3">
      <c r="A571" s="2">
        <v>46034</v>
      </c>
      <c r="B571" t="s">
        <v>7</v>
      </c>
      <c r="C571" t="s">
        <v>8</v>
      </c>
      <c r="D571" t="s">
        <v>13</v>
      </c>
      <c r="E571" t="s">
        <v>21</v>
      </c>
      <c r="F571" t="s">
        <v>591</v>
      </c>
      <c r="G571">
        <v>10.0136</v>
      </c>
      <c r="H571" t="str">
        <f t="shared" si="9"/>
        <v>ok</v>
      </c>
    </row>
    <row r="572" spans="1:8" x14ac:dyDescent="0.3">
      <c r="A572" s="2">
        <v>46034</v>
      </c>
      <c r="B572" t="s">
        <v>12</v>
      </c>
      <c r="C572" t="s">
        <v>16</v>
      </c>
      <c r="D572" t="s">
        <v>17</v>
      </c>
      <c r="E572" t="s">
        <v>36</v>
      </c>
      <c r="F572" t="s">
        <v>592</v>
      </c>
      <c r="G572">
        <v>10.0345</v>
      </c>
      <c r="H572" t="str">
        <f t="shared" si="9"/>
        <v>ok</v>
      </c>
    </row>
    <row r="573" spans="1:8" x14ac:dyDescent="0.3">
      <c r="A573" s="2">
        <v>46034</v>
      </c>
      <c r="B573" t="s">
        <v>7</v>
      </c>
      <c r="C573" t="s">
        <v>19</v>
      </c>
      <c r="D573" t="s">
        <v>9</v>
      </c>
      <c r="E573" t="s">
        <v>28</v>
      </c>
      <c r="F573" t="s">
        <v>593</v>
      </c>
      <c r="G573">
        <v>10.0129</v>
      </c>
      <c r="H573" t="str">
        <f t="shared" si="9"/>
        <v>ok</v>
      </c>
    </row>
    <row r="574" spans="1:8" x14ac:dyDescent="0.3">
      <c r="A574" s="2">
        <v>46034</v>
      </c>
      <c r="B574" t="s">
        <v>12</v>
      </c>
      <c r="C574" t="s">
        <v>8</v>
      </c>
      <c r="D574" t="s">
        <v>9</v>
      </c>
      <c r="E574" t="s">
        <v>36</v>
      </c>
      <c r="F574" t="s">
        <v>594</v>
      </c>
      <c r="G574">
        <v>10.0395</v>
      </c>
      <c r="H574" t="str">
        <f t="shared" si="9"/>
        <v>ok</v>
      </c>
    </row>
    <row r="575" spans="1:8" x14ac:dyDescent="0.3">
      <c r="A575" s="2">
        <v>46034</v>
      </c>
      <c r="B575" t="s">
        <v>23</v>
      </c>
      <c r="C575" t="s">
        <v>8</v>
      </c>
      <c r="D575" t="s">
        <v>17</v>
      </c>
      <c r="E575" t="s">
        <v>28</v>
      </c>
      <c r="F575" t="s">
        <v>595</v>
      </c>
      <c r="G575">
        <v>9.9810999999999996</v>
      </c>
      <c r="H575" t="str">
        <f t="shared" si="9"/>
        <v>ok</v>
      </c>
    </row>
    <row r="576" spans="1:8" x14ac:dyDescent="0.3">
      <c r="A576" s="2">
        <v>46034</v>
      </c>
      <c r="B576" t="s">
        <v>23</v>
      </c>
      <c r="C576" t="s">
        <v>8</v>
      </c>
      <c r="D576" t="s">
        <v>17</v>
      </c>
      <c r="E576" t="s">
        <v>28</v>
      </c>
      <c r="F576" t="s">
        <v>596</v>
      </c>
      <c r="G576">
        <v>10.0146</v>
      </c>
      <c r="H576" t="str">
        <f t="shared" si="9"/>
        <v>ok</v>
      </c>
    </row>
    <row r="577" spans="1:8" x14ac:dyDescent="0.3">
      <c r="A577" s="2">
        <v>46034</v>
      </c>
      <c r="B577" t="s">
        <v>7</v>
      </c>
      <c r="C577" t="s">
        <v>16</v>
      </c>
      <c r="D577" t="s">
        <v>9</v>
      </c>
      <c r="E577" t="s">
        <v>28</v>
      </c>
      <c r="F577" t="s">
        <v>597</v>
      </c>
      <c r="G577">
        <v>10.0001</v>
      </c>
      <c r="H577" t="str">
        <f t="shared" si="9"/>
        <v>ok</v>
      </c>
    </row>
    <row r="578" spans="1:8" x14ac:dyDescent="0.3">
      <c r="A578" s="2">
        <v>46034</v>
      </c>
      <c r="B578" t="s">
        <v>23</v>
      </c>
      <c r="C578" t="s">
        <v>16</v>
      </c>
      <c r="D578" t="s">
        <v>9</v>
      </c>
      <c r="E578" t="s">
        <v>14</v>
      </c>
      <c r="F578" t="s">
        <v>598</v>
      </c>
      <c r="G578">
        <v>9.9969999999999999</v>
      </c>
      <c r="H578" t="str">
        <f t="shared" si="9"/>
        <v>ok</v>
      </c>
    </row>
    <row r="579" spans="1:8" x14ac:dyDescent="0.3">
      <c r="A579" s="2">
        <v>46034</v>
      </c>
      <c r="B579" t="s">
        <v>23</v>
      </c>
      <c r="C579" t="s">
        <v>16</v>
      </c>
      <c r="D579" t="s">
        <v>34</v>
      </c>
      <c r="E579" t="s">
        <v>28</v>
      </c>
      <c r="F579" t="s">
        <v>599</v>
      </c>
      <c r="G579">
        <v>10.0114</v>
      </c>
      <c r="H579" t="str">
        <f t="shared" si="9"/>
        <v>ok</v>
      </c>
    </row>
    <row r="580" spans="1:8" x14ac:dyDescent="0.3">
      <c r="A580" s="2">
        <v>46034</v>
      </c>
      <c r="B580" t="s">
        <v>23</v>
      </c>
      <c r="C580" t="s">
        <v>8</v>
      </c>
      <c r="D580" t="s">
        <v>17</v>
      </c>
      <c r="E580" t="s">
        <v>10</v>
      </c>
      <c r="F580" t="s">
        <v>600</v>
      </c>
      <c r="G580">
        <v>9.9878999999999998</v>
      </c>
      <c r="H580" t="str">
        <f t="shared" si="9"/>
        <v>ok</v>
      </c>
    </row>
    <row r="581" spans="1:8" x14ac:dyDescent="0.3">
      <c r="A581" s="2">
        <v>46034</v>
      </c>
      <c r="B581" t="s">
        <v>7</v>
      </c>
      <c r="C581" t="s">
        <v>8</v>
      </c>
      <c r="D581" t="s">
        <v>34</v>
      </c>
      <c r="E581" t="s">
        <v>10</v>
      </c>
      <c r="F581" t="s">
        <v>601</v>
      </c>
      <c r="G581">
        <v>9.9823000000000004</v>
      </c>
      <c r="H581" t="str">
        <f t="shared" si="9"/>
        <v>ok</v>
      </c>
    </row>
    <row r="582" spans="1:8" x14ac:dyDescent="0.3">
      <c r="A582" s="2">
        <v>46034</v>
      </c>
      <c r="B582" t="s">
        <v>7</v>
      </c>
      <c r="C582" t="s">
        <v>19</v>
      </c>
      <c r="D582" t="s">
        <v>17</v>
      </c>
      <c r="E582" t="s">
        <v>28</v>
      </c>
      <c r="F582" t="s">
        <v>602</v>
      </c>
      <c r="G582">
        <v>9.9878</v>
      </c>
      <c r="H582" t="str">
        <f t="shared" ref="H582:H645" si="10">IF(OR(G582&gt;10.5,G582&lt;9.95),"Defect","ok")</f>
        <v>ok</v>
      </c>
    </row>
    <row r="583" spans="1:8" x14ac:dyDescent="0.3">
      <c r="A583" s="2">
        <v>46034</v>
      </c>
      <c r="B583" t="s">
        <v>7</v>
      </c>
      <c r="C583" t="s">
        <v>16</v>
      </c>
      <c r="D583" t="s">
        <v>9</v>
      </c>
      <c r="E583" t="s">
        <v>21</v>
      </c>
      <c r="F583" t="s">
        <v>603</v>
      </c>
      <c r="G583">
        <v>10.051500000000001</v>
      </c>
      <c r="H583" t="str">
        <f t="shared" si="10"/>
        <v>ok</v>
      </c>
    </row>
    <row r="584" spans="1:8" x14ac:dyDescent="0.3">
      <c r="A584" s="2">
        <v>46034</v>
      </c>
      <c r="B584" t="s">
        <v>12</v>
      </c>
      <c r="C584" t="s">
        <v>8</v>
      </c>
      <c r="D584" t="s">
        <v>13</v>
      </c>
      <c r="E584" t="s">
        <v>10</v>
      </c>
      <c r="F584" t="s">
        <v>604</v>
      </c>
      <c r="G584">
        <v>10.039400000000001</v>
      </c>
      <c r="H584" t="str">
        <f t="shared" si="10"/>
        <v>ok</v>
      </c>
    </row>
    <row r="585" spans="1:8" x14ac:dyDescent="0.3">
      <c r="A585" s="2">
        <v>46034</v>
      </c>
      <c r="B585" t="s">
        <v>12</v>
      </c>
      <c r="C585" t="s">
        <v>8</v>
      </c>
      <c r="D585" t="s">
        <v>17</v>
      </c>
      <c r="E585" t="s">
        <v>10</v>
      </c>
      <c r="F585" t="s">
        <v>605</v>
      </c>
      <c r="G585">
        <v>9.9982000000000006</v>
      </c>
      <c r="H585" t="str">
        <f t="shared" si="10"/>
        <v>ok</v>
      </c>
    </row>
    <row r="586" spans="1:8" x14ac:dyDescent="0.3">
      <c r="A586" s="2">
        <v>46034</v>
      </c>
      <c r="B586" t="s">
        <v>7</v>
      </c>
      <c r="C586" t="s">
        <v>16</v>
      </c>
      <c r="D586" t="s">
        <v>13</v>
      </c>
      <c r="E586" t="s">
        <v>28</v>
      </c>
      <c r="F586" t="s">
        <v>606</v>
      </c>
      <c r="G586">
        <v>10.016299999999999</v>
      </c>
      <c r="H586" t="str">
        <f t="shared" si="10"/>
        <v>ok</v>
      </c>
    </row>
    <row r="587" spans="1:8" x14ac:dyDescent="0.3">
      <c r="A587" s="2">
        <v>46034</v>
      </c>
      <c r="B587" t="s">
        <v>23</v>
      </c>
      <c r="C587" t="s">
        <v>8</v>
      </c>
      <c r="D587" t="s">
        <v>13</v>
      </c>
      <c r="E587" t="s">
        <v>14</v>
      </c>
      <c r="F587" t="s">
        <v>607</v>
      </c>
      <c r="G587">
        <v>9.9917999999999996</v>
      </c>
      <c r="H587" t="str">
        <f t="shared" si="10"/>
        <v>ok</v>
      </c>
    </row>
    <row r="588" spans="1:8" x14ac:dyDescent="0.3">
      <c r="A588" s="2">
        <v>46034</v>
      </c>
      <c r="B588" t="s">
        <v>12</v>
      </c>
      <c r="C588" t="s">
        <v>16</v>
      </c>
      <c r="D588" t="s">
        <v>13</v>
      </c>
      <c r="E588" t="s">
        <v>28</v>
      </c>
      <c r="F588" t="s">
        <v>608</v>
      </c>
      <c r="G588">
        <v>10.0336</v>
      </c>
      <c r="H588" t="str">
        <f t="shared" si="10"/>
        <v>ok</v>
      </c>
    </row>
    <row r="589" spans="1:8" x14ac:dyDescent="0.3">
      <c r="A589" s="2">
        <v>46034</v>
      </c>
      <c r="B589" t="s">
        <v>23</v>
      </c>
      <c r="C589" t="s">
        <v>16</v>
      </c>
      <c r="D589" t="s">
        <v>13</v>
      </c>
      <c r="E589" t="s">
        <v>14</v>
      </c>
      <c r="F589" t="s">
        <v>609</v>
      </c>
      <c r="G589">
        <v>9.9968000000000004</v>
      </c>
      <c r="H589" t="str">
        <f t="shared" si="10"/>
        <v>ok</v>
      </c>
    </row>
    <row r="590" spans="1:8" x14ac:dyDescent="0.3">
      <c r="A590" s="2">
        <v>46034</v>
      </c>
      <c r="B590" t="s">
        <v>7</v>
      </c>
      <c r="C590" t="s">
        <v>19</v>
      </c>
      <c r="D590" t="s">
        <v>34</v>
      </c>
      <c r="E590" t="s">
        <v>28</v>
      </c>
      <c r="F590" t="s">
        <v>610</v>
      </c>
      <c r="G590">
        <v>9.9713999999999992</v>
      </c>
      <c r="H590" t="str">
        <f t="shared" si="10"/>
        <v>ok</v>
      </c>
    </row>
    <row r="591" spans="1:8" x14ac:dyDescent="0.3">
      <c r="A591" s="2">
        <v>46034</v>
      </c>
      <c r="B591" t="s">
        <v>12</v>
      </c>
      <c r="C591" t="s">
        <v>16</v>
      </c>
      <c r="D591" t="s">
        <v>13</v>
      </c>
      <c r="E591" t="s">
        <v>10</v>
      </c>
      <c r="F591" t="s">
        <v>611</v>
      </c>
      <c r="G591">
        <v>9.9390999999999998</v>
      </c>
      <c r="H591" t="str">
        <f t="shared" si="10"/>
        <v>Defect</v>
      </c>
    </row>
    <row r="592" spans="1:8" x14ac:dyDescent="0.3">
      <c r="A592" s="2">
        <v>46034</v>
      </c>
      <c r="B592" t="s">
        <v>23</v>
      </c>
      <c r="C592" t="s">
        <v>16</v>
      </c>
      <c r="D592" t="s">
        <v>34</v>
      </c>
      <c r="E592" t="s">
        <v>21</v>
      </c>
      <c r="F592" t="s">
        <v>612</v>
      </c>
      <c r="G592">
        <v>9.9728999999999992</v>
      </c>
      <c r="H592" t="str">
        <f t="shared" si="10"/>
        <v>ok</v>
      </c>
    </row>
    <row r="593" spans="1:8" x14ac:dyDescent="0.3">
      <c r="A593" s="2">
        <v>46034</v>
      </c>
      <c r="B593" t="s">
        <v>23</v>
      </c>
      <c r="C593" t="s">
        <v>8</v>
      </c>
      <c r="D593" t="s">
        <v>17</v>
      </c>
      <c r="E593" t="s">
        <v>10</v>
      </c>
      <c r="F593" t="s">
        <v>613</v>
      </c>
      <c r="G593">
        <v>9.9626000000000001</v>
      </c>
      <c r="H593" t="str">
        <f t="shared" si="10"/>
        <v>ok</v>
      </c>
    </row>
    <row r="594" spans="1:8" x14ac:dyDescent="0.3">
      <c r="A594" s="2">
        <v>46034</v>
      </c>
      <c r="B594" t="s">
        <v>7</v>
      </c>
      <c r="C594" t="s">
        <v>16</v>
      </c>
      <c r="D594" t="s">
        <v>9</v>
      </c>
      <c r="E594" t="s">
        <v>14</v>
      </c>
      <c r="F594" t="s">
        <v>614</v>
      </c>
      <c r="G594">
        <v>10.0022</v>
      </c>
      <c r="H594" t="str">
        <f t="shared" si="10"/>
        <v>ok</v>
      </c>
    </row>
    <row r="595" spans="1:8" x14ac:dyDescent="0.3">
      <c r="A595" s="2">
        <v>46034</v>
      </c>
      <c r="B595" t="s">
        <v>23</v>
      </c>
      <c r="C595" t="s">
        <v>16</v>
      </c>
      <c r="D595" t="s">
        <v>13</v>
      </c>
      <c r="E595" t="s">
        <v>10</v>
      </c>
      <c r="F595" t="s">
        <v>615</v>
      </c>
      <c r="G595">
        <v>10.002599999999999</v>
      </c>
      <c r="H595" t="str">
        <f t="shared" si="10"/>
        <v>ok</v>
      </c>
    </row>
    <row r="596" spans="1:8" x14ac:dyDescent="0.3">
      <c r="A596" s="2">
        <v>46034</v>
      </c>
      <c r="B596" t="s">
        <v>7</v>
      </c>
      <c r="C596" t="s">
        <v>8</v>
      </c>
      <c r="D596" t="s">
        <v>9</v>
      </c>
      <c r="E596" t="s">
        <v>28</v>
      </c>
      <c r="F596" t="s">
        <v>616</v>
      </c>
      <c r="G596">
        <v>9.9984000000000002</v>
      </c>
      <c r="H596" t="str">
        <f t="shared" si="10"/>
        <v>ok</v>
      </c>
    </row>
    <row r="597" spans="1:8" x14ac:dyDescent="0.3">
      <c r="A597" s="2">
        <v>46034</v>
      </c>
      <c r="B597" t="s">
        <v>12</v>
      </c>
      <c r="C597" t="s">
        <v>16</v>
      </c>
      <c r="D597" t="s">
        <v>17</v>
      </c>
      <c r="E597" t="s">
        <v>36</v>
      </c>
      <c r="F597" t="s">
        <v>617</v>
      </c>
      <c r="G597">
        <v>10.0199</v>
      </c>
      <c r="H597" t="str">
        <f t="shared" si="10"/>
        <v>ok</v>
      </c>
    </row>
    <row r="598" spans="1:8" x14ac:dyDescent="0.3">
      <c r="A598" s="2">
        <v>46034</v>
      </c>
      <c r="B598" t="s">
        <v>7</v>
      </c>
      <c r="C598" t="s">
        <v>16</v>
      </c>
      <c r="D598" t="s">
        <v>34</v>
      </c>
      <c r="E598" t="s">
        <v>36</v>
      </c>
      <c r="F598" t="s">
        <v>618</v>
      </c>
      <c r="G598">
        <v>9.9956999999999994</v>
      </c>
      <c r="H598" t="str">
        <f t="shared" si="10"/>
        <v>ok</v>
      </c>
    </row>
    <row r="599" spans="1:8" x14ac:dyDescent="0.3">
      <c r="A599" s="2">
        <v>46034</v>
      </c>
      <c r="B599" t="s">
        <v>12</v>
      </c>
      <c r="C599" t="s">
        <v>19</v>
      </c>
      <c r="D599" t="s">
        <v>34</v>
      </c>
      <c r="E599" t="s">
        <v>36</v>
      </c>
      <c r="F599" t="s">
        <v>619</v>
      </c>
      <c r="G599">
        <v>10.0329</v>
      </c>
      <c r="H599" t="str">
        <f t="shared" si="10"/>
        <v>ok</v>
      </c>
    </row>
    <row r="600" spans="1:8" x14ac:dyDescent="0.3">
      <c r="A600" s="2">
        <v>46034</v>
      </c>
      <c r="B600" t="s">
        <v>7</v>
      </c>
      <c r="C600" t="s">
        <v>16</v>
      </c>
      <c r="D600" t="s">
        <v>9</v>
      </c>
      <c r="E600" t="s">
        <v>14</v>
      </c>
      <c r="F600" t="s">
        <v>620</v>
      </c>
      <c r="G600">
        <v>10.0054</v>
      </c>
      <c r="H600" t="str">
        <f t="shared" si="10"/>
        <v>ok</v>
      </c>
    </row>
    <row r="601" spans="1:8" x14ac:dyDescent="0.3">
      <c r="A601" s="2">
        <v>46034</v>
      </c>
      <c r="B601" t="s">
        <v>7</v>
      </c>
      <c r="C601" t="s">
        <v>16</v>
      </c>
      <c r="D601" t="s">
        <v>34</v>
      </c>
      <c r="E601" t="s">
        <v>28</v>
      </c>
      <c r="F601" t="s">
        <v>621</v>
      </c>
      <c r="G601">
        <v>10.000299999999999</v>
      </c>
      <c r="H601" t="str">
        <f t="shared" si="10"/>
        <v>ok</v>
      </c>
    </row>
    <row r="602" spans="1:8" x14ac:dyDescent="0.3">
      <c r="A602" s="2">
        <v>46035</v>
      </c>
      <c r="B602" t="s">
        <v>12</v>
      </c>
      <c r="C602" t="s">
        <v>16</v>
      </c>
      <c r="D602" t="s">
        <v>17</v>
      </c>
      <c r="E602" t="s">
        <v>28</v>
      </c>
      <c r="F602" t="s">
        <v>622</v>
      </c>
      <c r="G602">
        <v>10.029999999999999</v>
      </c>
      <c r="H602" t="str">
        <f t="shared" si="10"/>
        <v>ok</v>
      </c>
    </row>
    <row r="603" spans="1:8" x14ac:dyDescent="0.3">
      <c r="A603" s="2">
        <v>46035</v>
      </c>
      <c r="B603" t="s">
        <v>23</v>
      </c>
      <c r="C603" t="s">
        <v>16</v>
      </c>
      <c r="D603" t="s">
        <v>34</v>
      </c>
      <c r="E603" t="s">
        <v>14</v>
      </c>
      <c r="F603" t="s">
        <v>623</v>
      </c>
      <c r="G603">
        <v>9.9726999999999997</v>
      </c>
      <c r="H603" t="str">
        <f t="shared" si="10"/>
        <v>ok</v>
      </c>
    </row>
    <row r="604" spans="1:8" x14ac:dyDescent="0.3">
      <c r="A604" s="2">
        <v>46035</v>
      </c>
      <c r="B604" t="s">
        <v>7</v>
      </c>
      <c r="C604" t="s">
        <v>8</v>
      </c>
      <c r="D604" t="s">
        <v>9</v>
      </c>
      <c r="E604" t="s">
        <v>36</v>
      </c>
      <c r="F604" t="s">
        <v>624</v>
      </c>
      <c r="G604">
        <v>10.016500000000001</v>
      </c>
      <c r="H604" t="str">
        <f t="shared" si="10"/>
        <v>ok</v>
      </c>
    </row>
    <row r="605" spans="1:8" x14ac:dyDescent="0.3">
      <c r="A605" s="2">
        <v>46035</v>
      </c>
      <c r="B605" t="s">
        <v>23</v>
      </c>
      <c r="C605" t="s">
        <v>19</v>
      </c>
      <c r="D605" t="s">
        <v>34</v>
      </c>
      <c r="E605" t="s">
        <v>21</v>
      </c>
      <c r="F605" t="s">
        <v>625</v>
      </c>
      <c r="G605">
        <v>10.0351</v>
      </c>
      <c r="H605" t="str">
        <f t="shared" si="10"/>
        <v>ok</v>
      </c>
    </row>
    <row r="606" spans="1:8" x14ac:dyDescent="0.3">
      <c r="A606" s="2">
        <v>46035</v>
      </c>
      <c r="B606" t="s">
        <v>12</v>
      </c>
      <c r="C606" t="s">
        <v>19</v>
      </c>
      <c r="D606" t="s">
        <v>17</v>
      </c>
      <c r="E606" t="s">
        <v>21</v>
      </c>
      <c r="F606" t="s">
        <v>626</v>
      </c>
      <c r="G606">
        <v>10.0152</v>
      </c>
      <c r="H606" t="str">
        <f t="shared" si="10"/>
        <v>ok</v>
      </c>
    </row>
    <row r="607" spans="1:8" x14ac:dyDescent="0.3">
      <c r="A607" s="2">
        <v>46035</v>
      </c>
      <c r="B607" t="s">
        <v>23</v>
      </c>
      <c r="C607" t="s">
        <v>19</v>
      </c>
      <c r="D607" t="s">
        <v>17</v>
      </c>
      <c r="E607" t="s">
        <v>10</v>
      </c>
      <c r="F607" t="s">
        <v>627</v>
      </c>
      <c r="G607">
        <v>9.9860000000000007</v>
      </c>
      <c r="H607" t="str">
        <f t="shared" si="10"/>
        <v>ok</v>
      </c>
    </row>
    <row r="608" spans="1:8" x14ac:dyDescent="0.3">
      <c r="A608" s="2">
        <v>46035</v>
      </c>
      <c r="B608" t="s">
        <v>23</v>
      </c>
      <c r="C608" t="s">
        <v>8</v>
      </c>
      <c r="D608" t="s">
        <v>34</v>
      </c>
      <c r="E608" t="s">
        <v>14</v>
      </c>
      <c r="F608" t="s">
        <v>628</v>
      </c>
      <c r="G608">
        <v>9.9961000000000002</v>
      </c>
      <c r="H608" t="str">
        <f t="shared" si="10"/>
        <v>ok</v>
      </c>
    </row>
    <row r="609" spans="1:8" x14ac:dyDescent="0.3">
      <c r="A609" s="2">
        <v>46035</v>
      </c>
      <c r="B609" t="s">
        <v>7</v>
      </c>
      <c r="C609" t="s">
        <v>19</v>
      </c>
      <c r="D609" t="s">
        <v>17</v>
      </c>
      <c r="E609" t="s">
        <v>36</v>
      </c>
      <c r="F609" t="s">
        <v>629</v>
      </c>
      <c r="G609">
        <v>10.025600000000001</v>
      </c>
      <c r="H609" t="str">
        <f t="shared" si="10"/>
        <v>ok</v>
      </c>
    </row>
    <row r="610" spans="1:8" x14ac:dyDescent="0.3">
      <c r="A610" s="2">
        <v>46035</v>
      </c>
      <c r="B610" t="s">
        <v>12</v>
      </c>
      <c r="C610" t="s">
        <v>8</v>
      </c>
      <c r="D610" t="s">
        <v>17</v>
      </c>
      <c r="E610" t="s">
        <v>36</v>
      </c>
      <c r="F610" t="s">
        <v>630</v>
      </c>
      <c r="G610">
        <v>9.9941999999999993</v>
      </c>
      <c r="H610" t="str">
        <f t="shared" si="10"/>
        <v>ok</v>
      </c>
    </row>
    <row r="611" spans="1:8" x14ac:dyDescent="0.3">
      <c r="A611" s="2">
        <v>46035</v>
      </c>
      <c r="B611" t="s">
        <v>7</v>
      </c>
      <c r="C611" t="s">
        <v>19</v>
      </c>
      <c r="D611" t="s">
        <v>17</v>
      </c>
      <c r="E611" t="s">
        <v>10</v>
      </c>
      <c r="F611" t="s">
        <v>631</v>
      </c>
      <c r="G611">
        <v>9.9878</v>
      </c>
      <c r="H611" t="str">
        <f t="shared" si="10"/>
        <v>ok</v>
      </c>
    </row>
    <row r="612" spans="1:8" x14ac:dyDescent="0.3">
      <c r="A612" s="2">
        <v>46035</v>
      </c>
      <c r="B612" t="s">
        <v>7</v>
      </c>
      <c r="C612" t="s">
        <v>16</v>
      </c>
      <c r="D612" t="s">
        <v>17</v>
      </c>
      <c r="E612" t="s">
        <v>28</v>
      </c>
      <c r="F612" t="s">
        <v>632</v>
      </c>
      <c r="G612">
        <v>9.9974000000000007</v>
      </c>
      <c r="H612" t="str">
        <f t="shared" si="10"/>
        <v>ok</v>
      </c>
    </row>
    <row r="613" spans="1:8" x14ac:dyDescent="0.3">
      <c r="A613" s="2">
        <v>46035</v>
      </c>
      <c r="B613" t="s">
        <v>23</v>
      </c>
      <c r="C613" t="s">
        <v>16</v>
      </c>
      <c r="D613" t="s">
        <v>13</v>
      </c>
      <c r="E613" t="s">
        <v>36</v>
      </c>
      <c r="F613" t="s">
        <v>633</v>
      </c>
      <c r="G613">
        <v>10.0021</v>
      </c>
      <c r="H613" t="str">
        <f t="shared" si="10"/>
        <v>ok</v>
      </c>
    </row>
    <row r="614" spans="1:8" x14ac:dyDescent="0.3">
      <c r="A614" s="2">
        <v>46035</v>
      </c>
      <c r="B614" t="s">
        <v>7</v>
      </c>
      <c r="C614" t="s">
        <v>16</v>
      </c>
      <c r="D614" t="s">
        <v>34</v>
      </c>
      <c r="E614" t="s">
        <v>14</v>
      </c>
      <c r="F614" t="s">
        <v>634</v>
      </c>
      <c r="G614">
        <v>9.9799000000000007</v>
      </c>
      <c r="H614" t="str">
        <f t="shared" si="10"/>
        <v>ok</v>
      </c>
    </row>
    <row r="615" spans="1:8" x14ac:dyDescent="0.3">
      <c r="A615" s="2">
        <v>46035</v>
      </c>
      <c r="B615" t="s">
        <v>7</v>
      </c>
      <c r="C615" t="s">
        <v>8</v>
      </c>
      <c r="D615" t="s">
        <v>9</v>
      </c>
      <c r="E615" t="s">
        <v>10</v>
      </c>
      <c r="F615" t="s">
        <v>635</v>
      </c>
      <c r="G615">
        <v>9.9742999999999995</v>
      </c>
      <c r="H615" t="str">
        <f t="shared" si="10"/>
        <v>ok</v>
      </c>
    </row>
    <row r="616" spans="1:8" x14ac:dyDescent="0.3">
      <c r="A616" s="2">
        <v>46035</v>
      </c>
      <c r="B616" t="s">
        <v>7</v>
      </c>
      <c r="C616" t="s">
        <v>19</v>
      </c>
      <c r="D616" t="s">
        <v>13</v>
      </c>
      <c r="E616" t="s">
        <v>36</v>
      </c>
      <c r="F616" t="s">
        <v>636</v>
      </c>
      <c r="G616">
        <v>9.9898000000000007</v>
      </c>
      <c r="H616" t="str">
        <f t="shared" si="10"/>
        <v>ok</v>
      </c>
    </row>
    <row r="617" spans="1:8" x14ac:dyDescent="0.3">
      <c r="A617" s="2">
        <v>46035</v>
      </c>
      <c r="B617" t="s">
        <v>23</v>
      </c>
      <c r="C617" t="s">
        <v>19</v>
      </c>
      <c r="D617" t="s">
        <v>34</v>
      </c>
      <c r="E617" t="s">
        <v>14</v>
      </c>
      <c r="F617" t="s">
        <v>637</v>
      </c>
      <c r="G617">
        <v>10.011200000000001</v>
      </c>
      <c r="H617" t="str">
        <f t="shared" si="10"/>
        <v>ok</v>
      </c>
    </row>
    <row r="618" spans="1:8" x14ac:dyDescent="0.3">
      <c r="A618" s="2">
        <v>46035</v>
      </c>
      <c r="B618" t="s">
        <v>12</v>
      </c>
      <c r="C618" t="s">
        <v>16</v>
      </c>
      <c r="D618" t="s">
        <v>13</v>
      </c>
      <c r="E618" t="s">
        <v>14</v>
      </c>
      <c r="F618" t="s">
        <v>638</v>
      </c>
      <c r="G618">
        <v>10.047000000000001</v>
      </c>
      <c r="H618" t="str">
        <f t="shared" si="10"/>
        <v>ok</v>
      </c>
    </row>
    <row r="619" spans="1:8" x14ac:dyDescent="0.3">
      <c r="A619" s="2">
        <v>46035</v>
      </c>
      <c r="B619" t="s">
        <v>12</v>
      </c>
      <c r="C619" t="s">
        <v>19</v>
      </c>
      <c r="D619" t="s">
        <v>13</v>
      </c>
      <c r="E619" t="s">
        <v>14</v>
      </c>
      <c r="F619" t="s">
        <v>639</v>
      </c>
      <c r="G619">
        <v>10.047800000000001</v>
      </c>
      <c r="H619" t="str">
        <f t="shared" si="10"/>
        <v>ok</v>
      </c>
    </row>
    <row r="620" spans="1:8" x14ac:dyDescent="0.3">
      <c r="A620" s="2">
        <v>46035</v>
      </c>
      <c r="B620" t="s">
        <v>12</v>
      </c>
      <c r="C620" t="s">
        <v>19</v>
      </c>
      <c r="D620" t="s">
        <v>9</v>
      </c>
      <c r="E620" t="s">
        <v>21</v>
      </c>
      <c r="F620" t="s">
        <v>640</v>
      </c>
      <c r="G620">
        <v>10.102</v>
      </c>
      <c r="H620" t="str">
        <f t="shared" si="10"/>
        <v>ok</v>
      </c>
    </row>
    <row r="621" spans="1:8" x14ac:dyDescent="0.3">
      <c r="A621" s="2">
        <v>46035</v>
      </c>
      <c r="B621" t="s">
        <v>23</v>
      </c>
      <c r="C621" t="s">
        <v>8</v>
      </c>
      <c r="D621" t="s">
        <v>17</v>
      </c>
      <c r="E621" t="s">
        <v>28</v>
      </c>
      <c r="F621" t="s">
        <v>641</v>
      </c>
      <c r="G621">
        <v>9.9847999999999999</v>
      </c>
      <c r="H621" t="str">
        <f t="shared" si="10"/>
        <v>ok</v>
      </c>
    </row>
    <row r="622" spans="1:8" x14ac:dyDescent="0.3">
      <c r="A622" s="2">
        <v>46035</v>
      </c>
      <c r="B622" t="s">
        <v>12</v>
      </c>
      <c r="C622" t="s">
        <v>8</v>
      </c>
      <c r="D622" t="s">
        <v>34</v>
      </c>
      <c r="E622" t="s">
        <v>21</v>
      </c>
      <c r="F622" t="s">
        <v>642</v>
      </c>
      <c r="G622">
        <v>9.9920000000000009</v>
      </c>
      <c r="H622" t="str">
        <f t="shared" si="10"/>
        <v>ok</v>
      </c>
    </row>
    <row r="623" spans="1:8" x14ac:dyDescent="0.3">
      <c r="A623" s="2">
        <v>46035</v>
      </c>
      <c r="B623" t="s">
        <v>23</v>
      </c>
      <c r="C623" t="s">
        <v>19</v>
      </c>
      <c r="D623" t="s">
        <v>17</v>
      </c>
      <c r="E623" t="s">
        <v>36</v>
      </c>
      <c r="F623" t="s">
        <v>643</v>
      </c>
      <c r="G623">
        <v>10.0166</v>
      </c>
      <c r="H623" t="str">
        <f t="shared" si="10"/>
        <v>ok</v>
      </c>
    </row>
    <row r="624" spans="1:8" x14ac:dyDescent="0.3">
      <c r="A624" s="2">
        <v>46035</v>
      </c>
      <c r="B624" t="s">
        <v>7</v>
      </c>
      <c r="C624" t="s">
        <v>8</v>
      </c>
      <c r="D624" t="s">
        <v>34</v>
      </c>
      <c r="E624" t="s">
        <v>14</v>
      </c>
      <c r="F624" t="s">
        <v>644</v>
      </c>
      <c r="G624">
        <v>10.0099</v>
      </c>
      <c r="H624" t="str">
        <f t="shared" si="10"/>
        <v>ok</v>
      </c>
    </row>
    <row r="625" spans="1:8" x14ac:dyDescent="0.3">
      <c r="A625" s="2">
        <v>46035</v>
      </c>
      <c r="B625" t="s">
        <v>12</v>
      </c>
      <c r="C625" t="s">
        <v>8</v>
      </c>
      <c r="D625" t="s">
        <v>17</v>
      </c>
      <c r="E625" t="s">
        <v>28</v>
      </c>
      <c r="F625" t="s">
        <v>645</v>
      </c>
      <c r="G625">
        <v>9.9666999999999994</v>
      </c>
      <c r="H625" t="str">
        <f t="shared" si="10"/>
        <v>ok</v>
      </c>
    </row>
    <row r="626" spans="1:8" x14ac:dyDescent="0.3">
      <c r="A626" s="2">
        <v>46035</v>
      </c>
      <c r="B626" t="s">
        <v>12</v>
      </c>
      <c r="C626" t="s">
        <v>8</v>
      </c>
      <c r="D626" t="s">
        <v>17</v>
      </c>
      <c r="E626" t="s">
        <v>21</v>
      </c>
      <c r="F626" t="s">
        <v>646</v>
      </c>
      <c r="G626">
        <v>9.9885000000000002</v>
      </c>
      <c r="H626" t="str">
        <f t="shared" si="10"/>
        <v>ok</v>
      </c>
    </row>
    <row r="627" spans="1:8" x14ac:dyDescent="0.3">
      <c r="A627" s="2">
        <v>46035</v>
      </c>
      <c r="B627" t="s">
        <v>12</v>
      </c>
      <c r="C627" t="s">
        <v>8</v>
      </c>
      <c r="D627" t="s">
        <v>9</v>
      </c>
      <c r="E627" t="s">
        <v>21</v>
      </c>
      <c r="F627" t="s">
        <v>647</v>
      </c>
      <c r="G627">
        <v>10.014799999999999</v>
      </c>
      <c r="H627" t="str">
        <f t="shared" si="10"/>
        <v>ok</v>
      </c>
    </row>
    <row r="628" spans="1:8" x14ac:dyDescent="0.3">
      <c r="A628" s="2">
        <v>46035</v>
      </c>
      <c r="B628" t="s">
        <v>12</v>
      </c>
      <c r="C628" t="s">
        <v>19</v>
      </c>
      <c r="D628" t="s">
        <v>13</v>
      </c>
      <c r="E628" t="s">
        <v>21</v>
      </c>
      <c r="F628" t="s">
        <v>648</v>
      </c>
      <c r="G628">
        <v>10.0336</v>
      </c>
      <c r="H628" t="str">
        <f t="shared" si="10"/>
        <v>ok</v>
      </c>
    </row>
    <row r="629" spans="1:8" x14ac:dyDescent="0.3">
      <c r="A629" s="2">
        <v>46035</v>
      </c>
      <c r="B629" t="s">
        <v>12</v>
      </c>
      <c r="C629" t="s">
        <v>16</v>
      </c>
      <c r="D629" t="s">
        <v>13</v>
      </c>
      <c r="E629" t="s">
        <v>36</v>
      </c>
      <c r="F629" t="s">
        <v>649</v>
      </c>
      <c r="G629">
        <v>10.042199999999999</v>
      </c>
      <c r="H629" t="str">
        <f t="shared" si="10"/>
        <v>ok</v>
      </c>
    </row>
    <row r="630" spans="1:8" x14ac:dyDescent="0.3">
      <c r="A630" s="2">
        <v>46035</v>
      </c>
      <c r="B630" t="s">
        <v>7</v>
      </c>
      <c r="C630" t="s">
        <v>8</v>
      </c>
      <c r="D630" t="s">
        <v>13</v>
      </c>
      <c r="E630" t="s">
        <v>36</v>
      </c>
      <c r="F630" t="s">
        <v>650</v>
      </c>
      <c r="G630">
        <v>9.9952000000000005</v>
      </c>
      <c r="H630" t="str">
        <f t="shared" si="10"/>
        <v>ok</v>
      </c>
    </row>
    <row r="631" spans="1:8" x14ac:dyDescent="0.3">
      <c r="A631" s="2">
        <v>46035</v>
      </c>
      <c r="B631" t="s">
        <v>7</v>
      </c>
      <c r="C631" t="s">
        <v>8</v>
      </c>
      <c r="D631" t="s">
        <v>13</v>
      </c>
      <c r="E631" t="s">
        <v>10</v>
      </c>
      <c r="F631" t="s">
        <v>651</v>
      </c>
      <c r="G631">
        <v>10.0024</v>
      </c>
      <c r="H631" t="str">
        <f t="shared" si="10"/>
        <v>ok</v>
      </c>
    </row>
    <row r="632" spans="1:8" x14ac:dyDescent="0.3">
      <c r="A632" s="2">
        <v>46035</v>
      </c>
      <c r="B632" t="s">
        <v>7</v>
      </c>
      <c r="C632" t="s">
        <v>8</v>
      </c>
      <c r="D632" t="s">
        <v>13</v>
      </c>
      <c r="E632" t="s">
        <v>28</v>
      </c>
      <c r="F632" t="s">
        <v>652</v>
      </c>
      <c r="G632">
        <v>10.027900000000001</v>
      </c>
      <c r="H632" t="str">
        <f t="shared" si="10"/>
        <v>ok</v>
      </c>
    </row>
    <row r="633" spans="1:8" x14ac:dyDescent="0.3">
      <c r="A633" s="2">
        <v>46035</v>
      </c>
      <c r="B633" t="s">
        <v>23</v>
      </c>
      <c r="C633" t="s">
        <v>19</v>
      </c>
      <c r="D633" t="s">
        <v>9</v>
      </c>
      <c r="E633" t="s">
        <v>28</v>
      </c>
      <c r="F633" t="s">
        <v>653</v>
      </c>
      <c r="G633">
        <v>9.9807000000000006</v>
      </c>
      <c r="H633" t="str">
        <f t="shared" si="10"/>
        <v>ok</v>
      </c>
    </row>
    <row r="634" spans="1:8" x14ac:dyDescent="0.3">
      <c r="A634" s="2">
        <v>46035</v>
      </c>
      <c r="B634" t="s">
        <v>12</v>
      </c>
      <c r="C634" t="s">
        <v>8</v>
      </c>
      <c r="D634" t="s">
        <v>17</v>
      </c>
      <c r="E634" t="s">
        <v>14</v>
      </c>
      <c r="F634" t="s">
        <v>654</v>
      </c>
      <c r="G634">
        <v>10.031000000000001</v>
      </c>
      <c r="H634" t="str">
        <f t="shared" si="10"/>
        <v>ok</v>
      </c>
    </row>
    <row r="635" spans="1:8" x14ac:dyDescent="0.3">
      <c r="A635" s="2">
        <v>46035</v>
      </c>
      <c r="B635" t="s">
        <v>12</v>
      </c>
      <c r="C635" t="s">
        <v>16</v>
      </c>
      <c r="D635" t="s">
        <v>34</v>
      </c>
      <c r="E635" t="s">
        <v>36</v>
      </c>
      <c r="F635" t="s">
        <v>655</v>
      </c>
      <c r="G635">
        <v>10.0459</v>
      </c>
      <c r="H635" t="str">
        <f t="shared" si="10"/>
        <v>ok</v>
      </c>
    </row>
    <row r="636" spans="1:8" x14ac:dyDescent="0.3">
      <c r="A636" s="2">
        <v>46035</v>
      </c>
      <c r="B636" t="s">
        <v>7</v>
      </c>
      <c r="C636" t="s">
        <v>19</v>
      </c>
      <c r="D636" t="s">
        <v>34</v>
      </c>
      <c r="E636" t="s">
        <v>21</v>
      </c>
      <c r="F636" t="s">
        <v>656</v>
      </c>
      <c r="G636">
        <v>10</v>
      </c>
      <c r="H636" t="str">
        <f t="shared" si="10"/>
        <v>ok</v>
      </c>
    </row>
    <row r="637" spans="1:8" x14ac:dyDescent="0.3">
      <c r="A637" s="2">
        <v>46035</v>
      </c>
      <c r="B637" t="s">
        <v>12</v>
      </c>
      <c r="C637" t="s">
        <v>19</v>
      </c>
      <c r="D637" t="s">
        <v>34</v>
      </c>
      <c r="E637" t="s">
        <v>21</v>
      </c>
      <c r="F637" t="s">
        <v>657</v>
      </c>
      <c r="G637">
        <v>10.0174</v>
      </c>
      <c r="H637" t="str">
        <f t="shared" si="10"/>
        <v>ok</v>
      </c>
    </row>
    <row r="638" spans="1:8" x14ac:dyDescent="0.3">
      <c r="A638" s="2">
        <v>46035</v>
      </c>
      <c r="B638" t="s">
        <v>12</v>
      </c>
      <c r="C638" t="s">
        <v>8</v>
      </c>
      <c r="D638" t="s">
        <v>13</v>
      </c>
      <c r="E638" t="s">
        <v>10</v>
      </c>
      <c r="F638" t="s">
        <v>658</v>
      </c>
      <c r="G638">
        <v>10.0496</v>
      </c>
      <c r="H638" t="str">
        <f t="shared" si="10"/>
        <v>ok</v>
      </c>
    </row>
    <row r="639" spans="1:8" x14ac:dyDescent="0.3">
      <c r="A639" s="2">
        <v>46035</v>
      </c>
      <c r="B639" t="s">
        <v>7</v>
      </c>
      <c r="C639" t="s">
        <v>19</v>
      </c>
      <c r="D639" t="s">
        <v>34</v>
      </c>
      <c r="E639" t="s">
        <v>10</v>
      </c>
      <c r="F639" t="s">
        <v>659</v>
      </c>
      <c r="G639">
        <v>10.0022</v>
      </c>
      <c r="H639" t="str">
        <f t="shared" si="10"/>
        <v>ok</v>
      </c>
    </row>
    <row r="640" spans="1:8" x14ac:dyDescent="0.3">
      <c r="A640" s="2">
        <v>46035</v>
      </c>
      <c r="B640" t="s">
        <v>12</v>
      </c>
      <c r="C640" t="s">
        <v>16</v>
      </c>
      <c r="D640" t="s">
        <v>9</v>
      </c>
      <c r="E640" t="s">
        <v>36</v>
      </c>
      <c r="F640" t="s">
        <v>660</v>
      </c>
      <c r="G640">
        <v>9.9824000000000002</v>
      </c>
      <c r="H640" t="str">
        <f t="shared" si="10"/>
        <v>ok</v>
      </c>
    </row>
    <row r="641" spans="1:8" x14ac:dyDescent="0.3">
      <c r="A641" s="2">
        <v>46035</v>
      </c>
      <c r="B641" t="s">
        <v>23</v>
      </c>
      <c r="C641" t="s">
        <v>8</v>
      </c>
      <c r="D641" t="s">
        <v>13</v>
      </c>
      <c r="E641" t="s">
        <v>14</v>
      </c>
      <c r="F641" t="s">
        <v>661</v>
      </c>
      <c r="G641">
        <v>10.0337</v>
      </c>
      <c r="H641" t="str">
        <f t="shared" si="10"/>
        <v>ok</v>
      </c>
    </row>
    <row r="642" spans="1:8" x14ac:dyDescent="0.3">
      <c r="A642" s="2">
        <v>46035</v>
      </c>
      <c r="B642" t="s">
        <v>7</v>
      </c>
      <c r="C642" t="s">
        <v>16</v>
      </c>
      <c r="D642" t="s">
        <v>17</v>
      </c>
      <c r="E642" t="s">
        <v>21</v>
      </c>
      <c r="F642" t="s">
        <v>662</v>
      </c>
      <c r="G642">
        <v>10.0259</v>
      </c>
      <c r="H642" t="str">
        <f t="shared" si="10"/>
        <v>ok</v>
      </c>
    </row>
    <row r="643" spans="1:8" x14ac:dyDescent="0.3">
      <c r="A643" s="2">
        <v>46035</v>
      </c>
      <c r="B643" t="s">
        <v>7</v>
      </c>
      <c r="C643" t="s">
        <v>16</v>
      </c>
      <c r="D643" t="s">
        <v>13</v>
      </c>
      <c r="E643" t="s">
        <v>21</v>
      </c>
      <c r="F643" t="s">
        <v>663</v>
      </c>
      <c r="G643">
        <v>9.9966000000000008</v>
      </c>
      <c r="H643" t="str">
        <f t="shared" si="10"/>
        <v>ok</v>
      </c>
    </row>
    <row r="644" spans="1:8" x14ac:dyDescent="0.3">
      <c r="A644" s="2">
        <v>46035</v>
      </c>
      <c r="B644" t="s">
        <v>23</v>
      </c>
      <c r="C644" t="s">
        <v>8</v>
      </c>
      <c r="D644" t="s">
        <v>13</v>
      </c>
      <c r="E644" t="s">
        <v>36</v>
      </c>
      <c r="F644" t="s">
        <v>664</v>
      </c>
      <c r="G644">
        <v>9.9937000000000005</v>
      </c>
      <c r="H644" t="str">
        <f t="shared" si="10"/>
        <v>ok</v>
      </c>
    </row>
    <row r="645" spans="1:8" x14ac:dyDescent="0.3">
      <c r="A645" s="2">
        <v>46035</v>
      </c>
      <c r="B645" t="s">
        <v>12</v>
      </c>
      <c r="C645" t="s">
        <v>8</v>
      </c>
      <c r="D645" t="s">
        <v>34</v>
      </c>
      <c r="E645" t="s">
        <v>28</v>
      </c>
      <c r="F645" t="s">
        <v>665</v>
      </c>
      <c r="G645">
        <v>10.0373</v>
      </c>
      <c r="H645" t="str">
        <f t="shared" si="10"/>
        <v>ok</v>
      </c>
    </row>
    <row r="646" spans="1:8" x14ac:dyDescent="0.3">
      <c r="A646" s="2">
        <v>46035</v>
      </c>
      <c r="B646" t="s">
        <v>23</v>
      </c>
      <c r="C646" t="s">
        <v>8</v>
      </c>
      <c r="D646" t="s">
        <v>34</v>
      </c>
      <c r="E646" t="s">
        <v>36</v>
      </c>
      <c r="F646" t="s">
        <v>666</v>
      </c>
      <c r="G646">
        <v>10.0246</v>
      </c>
      <c r="H646" t="str">
        <f t="shared" ref="H646:H709" si="11">IF(OR(G646&gt;10.5,G646&lt;9.95),"Defect","ok")</f>
        <v>ok</v>
      </c>
    </row>
    <row r="647" spans="1:8" x14ac:dyDescent="0.3">
      <c r="A647" s="2">
        <v>46035</v>
      </c>
      <c r="B647" t="s">
        <v>23</v>
      </c>
      <c r="C647" t="s">
        <v>16</v>
      </c>
      <c r="D647" t="s">
        <v>34</v>
      </c>
      <c r="E647" t="s">
        <v>36</v>
      </c>
      <c r="F647" t="s">
        <v>667</v>
      </c>
      <c r="G647">
        <v>9.9863</v>
      </c>
      <c r="H647" t="str">
        <f t="shared" si="11"/>
        <v>ok</v>
      </c>
    </row>
    <row r="648" spans="1:8" x14ac:dyDescent="0.3">
      <c r="A648" s="2">
        <v>46035</v>
      </c>
      <c r="B648" t="s">
        <v>7</v>
      </c>
      <c r="C648" t="s">
        <v>8</v>
      </c>
      <c r="D648" t="s">
        <v>13</v>
      </c>
      <c r="E648" t="s">
        <v>21</v>
      </c>
      <c r="F648" t="s">
        <v>668</v>
      </c>
      <c r="G648">
        <v>9.9755000000000003</v>
      </c>
      <c r="H648" t="str">
        <f t="shared" si="11"/>
        <v>ok</v>
      </c>
    </row>
    <row r="649" spans="1:8" x14ac:dyDescent="0.3">
      <c r="A649" s="2">
        <v>46035</v>
      </c>
      <c r="B649" t="s">
        <v>23</v>
      </c>
      <c r="C649" t="s">
        <v>8</v>
      </c>
      <c r="D649" t="s">
        <v>13</v>
      </c>
      <c r="E649" t="s">
        <v>10</v>
      </c>
      <c r="F649" t="s">
        <v>669</v>
      </c>
      <c r="G649">
        <v>10.01</v>
      </c>
      <c r="H649" t="str">
        <f t="shared" si="11"/>
        <v>ok</v>
      </c>
    </row>
    <row r="650" spans="1:8" x14ac:dyDescent="0.3">
      <c r="A650" s="2">
        <v>46035</v>
      </c>
      <c r="B650" t="s">
        <v>7</v>
      </c>
      <c r="C650" t="s">
        <v>19</v>
      </c>
      <c r="D650" t="s">
        <v>34</v>
      </c>
      <c r="E650" t="s">
        <v>21</v>
      </c>
      <c r="F650" t="s">
        <v>670</v>
      </c>
      <c r="G650">
        <v>10.013400000000001</v>
      </c>
      <c r="H650" t="str">
        <f t="shared" si="11"/>
        <v>ok</v>
      </c>
    </row>
    <row r="651" spans="1:8" x14ac:dyDescent="0.3">
      <c r="A651" s="2">
        <v>46035</v>
      </c>
      <c r="B651" t="s">
        <v>12</v>
      </c>
      <c r="C651" t="s">
        <v>19</v>
      </c>
      <c r="D651" t="s">
        <v>34</v>
      </c>
      <c r="E651" t="s">
        <v>14</v>
      </c>
      <c r="F651" t="s">
        <v>671</v>
      </c>
      <c r="G651">
        <v>10.0633</v>
      </c>
      <c r="H651" t="str">
        <f t="shared" si="11"/>
        <v>ok</v>
      </c>
    </row>
    <row r="652" spans="1:8" x14ac:dyDescent="0.3">
      <c r="A652" s="2">
        <v>46036</v>
      </c>
      <c r="B652" t="s">
        <v>23</v>
      </c>
      <c r="C652" t="s">
        <v>8</v>
      </c>
      <c r="D652" t="s">
        <v>17</v>
      </c>
      <c r="E652" t="s">
        <v>36</v>
      </c>
      <c r="F652" t="s">
        <v>672</v>
      </c>
      <c r="G652">
        <v>10.0024</v>
      </c>
      <c r="H652" t="str">
        <f t="shared" si="11"/>
        <v>ok</v>
      </c>
    </row>
    <row r="653" spans="1:8" x14ac:dyDescent="0.3">
      <c r="A653" s="2">
        <v>46036</v>
      </c>
      <c r="B653" t="s">
        <v>12</v>
      </c>
      <c r="C653" t="s">
        <v>19</v>
      </c>
      <c r="D653" t="s">
        <v>9</v>
      </c>
      <c r="E653" t="s">
        <v>36</v>
      </c>
      <c r="F653" t="s">
        <v>673</v>
      </c>
      <c r="G653">
        <v>10.021800000000001</v>
      </c>
      <c r="H653" t="str">
        <f t="shared" si="11"/>
        <v>ok</v>
      </c>
    </row>
    <row r="654" spans="1:8" x14ac:dyDescent="0.3">
      <c r="A654" s="2">
        <v>46036</v>
      </c>
      <c r="B654" t="s">
        <v>23</v>
      </c>
      <c r="C654" t="s">
        <v>19</v>
      </c>
      <c r="D654" t="s">
        <v>13</v>
      </c>
      <c r="E654" t="s">
        <v>28</v>
      </c>
      <c r="F654" t="s">
        <v>674</v>
      </c>
      <c r="G654">
        <v>10.0015</v>
      </c>
      <c r="H654" t="str">
        <f t="shared" si="11"/>
        <v>ok</v>
      </c>
    </row>
    <row r="655" spans="1:8" x14ac:dyDescent="0.3">
      <c r="A655" s="2">
        <v>46036</v>
      </c>
      <c r="B655" t="s">
        <v>12</v>
      </c>
      <c r="C655" t="s">
        <v>8</v>
      </c>
      <c r="D655" t="s">
        <v>17</v>
      </c>
      <c r="E655" t="s">
        <v>10</v>
      </c>
      <c r="F655" t="s">
        <v>675</v>
      </c>
      <c r="G655">
        <v>10.0221</v>
      </c>
      <c r="H655" t="str">
        <f t="shared" si="11"/>
        <v>ok</v>
      </c>
    </row>
    <row r="656" spans="1:8" x14ac:dyDescent="0.3">
      <c r="A656" s="2">
        <v>46036</v>
      </c>
      <c r="B656" t="s">
        <v>23</v>
      </c>
      <c r="C656" t="s">
        <v>19</v>
      </c>
      <c r="D656" t="s">
        <v>13</v>
      </c>
      <c r="E656" t="s">
        <v>10</v>
      </c>
      <c r="F656" t="s">
        <v>676</v>
      </c>
      <c r="G656">
        <v>9.9986999999999995</v>
      </c>
      <c r="H656" t="str">
        <f t="shared" si="11"/>
        <v>ok</v>
      </c>
    </row>
    <row r="657" spans="1:8" x14ac:dyDescent="0.3">
      <c r="A657" s="2">
        <v>46036</v>
      </c>
      <c r="B657" t="s">
        <v>7</v>
      </c>
      <c r="C657" t="s">
        <v>19</v>
      </c>
      <c r="D657" t="s">
        <v>13</v>
      </c>
      <c r="E657" t="s">
        <v>14</v>
      </c>
      <c r="F657" t="s">
        <v>677</v>
      </c>
      <c r="G657">
        <v>9.9852000000000007</v>
      </c>
      <c r="H657" t="str">
        <f t="shared" si="11"/>
        <v>ok</v>
      </c>
    </row>
    <row r="658" spans="1:8" x14ac:dyDescent="0.3">
      <c r="A658" s="2">
        <v>46036</v>
      </c>
      <c r="B658" t="s">
        <v>7</v>
      </c>
      <c r="C658" t="s">
        <v>19</v>
      </c>
      <c r="D658" t="s">
        <v>9</v>
      </c>
      <c r="E658" t="s">
        <v>21</v>
      </c>
      <c r="F658" t="s">
        <v>678</v>
      </c>
      <c r="G658">
        <v>10.016</v>
      </c>
      <c r="H658" t="str">
        <f t="shared" si="11"/>
        <v>ok</v>
      </c>
    </row>
    <row r="659" spans="1:8" x14ac:dyDescent="0.3">
      <c r="A659" s="2">
        <v>46036</v>
      </c>
      <c r="B659" t="s">
        <v>12</v>
      </c>
      <c r="C659" t="s">
        <v>19</v>
      </c>
      <c r="D659" t="s">
        <v>34</v>
      </c>
      <c r="E659" t="s">
        <v>21</v>
      </c>
      <c r="F659" t="s">
        <v>679</v>
      </c>
      <c r="G659">
        <v>9.9962</v>
      </c>
      <c r="H659" t="str">
        <f t="shared" si="11"/>
        <v>ok</v>
      </c>
    </row>
    <row r="660" spans="1:8" x14ac:dyDescent="0.3">
      <c r="A660" s="2">
        <v>46036</v>
      </c>
      <c r="B660" t="s">
        <v>12</v>
      </c>
      <c r="C660" t="s">
        <v>16</v>
      </c>
      <c r="D660" t="s">
        <v>13</v>
      </c>
      <c r="E660" t="s">
        <v>10</v>
      </c>
      <c r="F660" t="s">
        <v>680</v>
      </c>
      <c r="G660">
        <v>10.005000000000001</v>
      </c>
      <c r="H660" t="str">
        <f t="shared" si="11"/>
        <v>ok</v>
      </c>
    </row>
    <row r="661" spans="1:8" x14ac:dyDescent="0.3">
      <c r="A661" s="2">
        <v>46036</v>
      </c>
      <c r="B661" t="s">
        <v>7</v>
      </c>
      <c r="C661" t="s">
        <v>19</v>
      </c>
      <c r="D661" t="s">
        <v>34</v>
      </c>
      <c r="E661" t="s">
        <v>14</v>
      </c>
      <c r="F661" t="s">
        <v>681</v>
      </c>
      <c r="G661">
        <v>9.9894999999999996</v>
      </c>
      <c r="H661" t="str">
        <f t="shared" si="11"/>
        <v>ok</v>
      </c>
    </row>
    <row r="662" spans="1:8" x14ac:dyDescent="0.3">
      <c r="A662" s="2">
        <v>46036</v>
      </c>
      <c r="B662" t="s">
        <v>7</v>
      </c>
      <c r="C662" t="s">
        <v>16</v>
      </c>
      <c r="D662" t="s">
        <v>9</v>
      </c>
      <c r="E662" t="s">
        <v>10</v>
      </c>
      <c r="F662" t="s">
        <v>682</v>
      </c>
      <c r="G662">
        <v>9.9893000000000001</v>
      </c>
      <c r="H662" t="str">
        <f t="shared" si="11"/>
        <v>ok</v>
      </c>
    </row>
    <row r="663" spans="1:8" x14ac:dyDescent="0.3">
      <c r="A663" s="2">
        <v>46036</v>
      </c>
      <c r="B663" t="s">
        <v>23</v>
      </c>
      <c r="C663" t="s">
        <v>19</v>
      </c>
      <c r="D663" t="s">
        <v>17</v>
      </c>
      <c r="E663" t="s">
        <v>10</v>
      </c>
      <c r="F663" t="s">
        <v>683</v>
      </c>
      <c r="G663">
        <v>9.9534000000000002</v>
      </c>
      <c r="H663" t="str">
        <f t="shared" si="11"/>
        <v>ok</v>
      </c>
    </row>
    <row r="664" spans="1:8" x14ac:dyDescent="0.3">
      <c r="A664" s="2">
        <v>46036</v>
      </c>
      <c r="B664" t="s">
        <v>12</v>
      </c>
      <c r="C664" t="s">
        <v>8</v>
      </c>
      <c r="D664" t="s">
        <v>34</v>
      </c>
      <c r="E664" t="s">
        <v>10</v>
      </c>
      <c r="F664" t="s">
        <v>684</v>
      </c>
      <c r="G664">
        <v>10.022600000000001</v>
      </c>
      <c r="H664" t="str">
        <f t="shared" si="11"/>
        <v>ok</v>
      </c>
    </row>
    <row r="665" spans="1:8" x14ac:dyDescent="0.3">
      <c r="A665" s="2">
        <v>46036</v>
      </c>
      <c r="B665" t="s">
        <v>23</v>
      </c>
      <c r="C665" t="s">
        <v>8</v>
      </c>
      <c r="D665" t="s">
        <v>17</v>
      </c>
      <c r="E665" t="s">
        <v>10</v>
      </c>
      <c r="F665" t="s">
        <v>685</v>
      </c>
      <c r="G665">
        <v>9.9780999999999995</v>
      </c>
      <c r="H665" t="str">
        <f t="shared" si="11"/>
        <v>ok</v>
      </c>
    </row>
    <row r="666" spans="1:8" x14ac:dyDescent="0.3">
      <c r="A666" s="2">
        <v>46036</v>
      </c>
      <c r="B666" t="s">
        <v>7</v>
      </c>
      <c r="C666" t="s">
        <v>19</v>
      </c>
      <c r="D666" t="s">
        <v>13</v>
      </c>
      <c r="E666" t="s">
        <v>36</v>
      </c>
      <c r="F666" t="s">
        <v>686</v>
      </c>
      <c r="G666">
        <v>10.002599999999999</v>
      </c>
      <c r="H666" t="str">
        <f t="shared" si="11"/>
        <v>ok</v>
      </c>
    </row>
    <row r="667" spans="1:8" x14ac:dyDescent="0.3">
      <c r="A667" s="2">
        <v>46036</v>
      </c>
      <c r="B667" t="s">
        <v>23</v>
      </c>
      <c r="C667" t="s">
        <v>19</v>
      </c>
      <c r="D667" t="s">
        <v>9</v>
      </c>
      <c r="E667" t="s">
        <v>28</v>
      </c>
      <c r="F667" t="s">
        <v>687</v>
      </c>
      <c r="G667">
        <v>10.0067</v>
      </c>
      <c r="H667" t="str">
        <f t="shared" si="11"/>
        <v>ok</v>
      </c>
    </row>
    <row r="668" spans="1:8" x14ac:dyDescent="0.3">
      <c r="A668" s="2">
        <v>46036</v>
      </c>
      <c r="B668" t="s">
        <v>23</v>
      </c>
      <c r="C668" t="s">
        <v>8</v>
      </c>
      <c r="D668" t="s">
        <v>34</v>
      </c>
      <c r="E668" t="s">
        <v>36</v>
      </c>
      <c r="F668" t="s">
        <v>688</v>
      </c>
      <c r="G668">
        <v>9.9923999999999999</v>
      </c>
      <c r="H668" t="str">
        <f t="shared" si="11"/>
        <v>ok</v>
      </c>
    </row>
    <row r="669" spans="1:8" x14ac:dyDescent="0.3">
      <c r="A669" s="2">
        <v>46036</v>
      </c>
      <c r="B669" t="s">
        <v>12</v>
      </c>
      <c r="C669" t="s">
        <v>19</v>
      </c>
      <c r="D669" t="s">
        <v>13</v>
      </c>
      <c r="E669" t="s">
        <v>14</v>
      </c>
      <c r="F669" t="s">
        <v>689</v>
      </c>
      <c r="G669">
        <v>9.9969000000000001</v>
      </c>
      <c r="H669" t="str">
        <f t="shared" si="11"/>
        <v>ok</v>
      </c>
    </row>
    <row r="670" spans="1:8" x14ac:dyDescent="0.3">
      <c r="A670" s="2">
        <v>46036</v>
      </c>
      <c r="B670" t="s">
        <v>23</v>
      </c>
      <c r="C670" t="s">
        <v>19</v>
      </c>
      <c r="D670" t="s">
        <v>17</v>
      </c>
      <c r="E670" t="s">
        <v>21</v>
      </c>
      <c r="F670" t="s">
        <v>690</v>
      </c>
      <c r="G670">
        <v>9.9530999999999992</v>
      </c>
      <c r="H670" t="str">
        <f t="shared" si="11"/>
        <v>ok</v>
      </c>
    </row>
    <row r="671" spans="1:8" x14ac:dyDescent="0.3">
      <c r="A671" s="2">
        <v>46036</v>
      </c>
      <c r="B671" t="s">
        <v>7</v>
      </c>
      <c r="C671" t="s">
        <v>19</v>
      </c>
      <c r="D671" t="s">
        <v>9</v>
      </c>
      <c r="E671" t="s">
        <v>36</v>
      </c>
      <c r="F671" t="s">
        <v>691</v>
      </c>
      <c r="G671">
        <v>10.004899999999999</v>
      </c>
      <c r="H671" t="str">
        <f t="shared" si="11"/>
        <v>ok</v>
      </c>
    </row>
    <row r="672" spans="1:8" x14ac:dyDescent="0.3">
      <c r="A672" s="2">
        <v>46036</v>
      </c>
      <c r="B672" t="s">
        <v>12</v>
      </c>
      <c r="C672" t="s">
        <v>16</v>
      </c>
      <c r="D672" t="s">
        <v>13</v>
      </c>
      <c r="E672" t="s">
        <v>14</v>
      </c>
      <c r="F672" t="s">
        <v>692</v>
      </c>
      <c r="G672">
        <v>10.0221</v>
      </c>
      <c r="H672" t="str">
        <f t="shared" si="11"/>
        <v>ok</v>
      </c>
    </row>
    <row r="673" spans="1:8" x14ac:dyDescent="0.3">
      <c r="A673" s="2">
        <v>46036</v>
      </c>
      <c r="B673" t="s">
        <v>23</v>
      </c>
      <c r="C673" t="s">
        <v>19</v>
      </c>
      <c r="D673" t="s">
        <v>17</v>
      </c>
      <c r="E673" t="s">
        <v>21</v>
      </c>
      <c r="F673" t="s">
        <v>693</v>
      </c>
      <c r="G673">
        <v>9.9822000000000006</v>
      </c>
      <c r="H673" t="str">
        <f t="shared" si="11"/>
        <v>ok</v>
      </c>
    </row>
    <row r="674" spans="1:8" x14ac:dyDescent="0.3">
      <c r="A674" s="2">
        <v>46036</v>
      </c>
      <c r="B674" t="s">
        <v>23</v>
      </c>
      <c r="C674" t="s">
        <v>16</v>
      </c>
      <c r="D674" t="s">
        <v>9</v>
      </c>
      <c r="E674" t="s">
        <v>10</v>
      </c>
      <c r="F674" t="s">
        <v>694</v>
      </c>
      <c r="G674">
        <v>10.020099999999999</v>
      </c>
      <c r="H674" t="str">
        <f t="shared" si="11"/>
        <v>ok</v>
      </c>
    </row>
    <row r="675" spans="1:8" x14ac:dyDescent="0.3">
      <c r="A675" s="2">
        <v>46036</v>
      </c>
      <c r="B675" t="s">
        <v>23</v>
      </c>
      <c r="C675" t="s">
        <v>16</v>
      </c>
      <c r="D675" t="s">
        <v>13</v>
      </c>
      <c r="E675" t="s">
        <v>14</v>
      </c>
      <c r="F675" t="s">
        <v>695</v>
      </c>
      <c r="G675">
        <v>10.007400000000001</v>
      </c>
      <c r="H675" t="str">
        <f t="shared" si="11"/>
        <v>ok</v>
      </c>
    </row>
    <row r="676" spans="1:8" x14ac:dyDescent="0.3">
      <c r="A676" s="2">
        <v>46036</v>
      </c>
      <c r="B676" t="s">
        <v>7</v>
      </c>
      <c r="C676" t="s">
        <v>16</v>
      </c>
      <c r="D676" t="s">
        <v>9</v>
      </c>
      <c r="E676" t="s">
        <v>14</v>
      </c>
      <c r="F676" t="s">
        <v>696</v>
      </c>
      <c r="G676">
        <v>9.9890000000000008</v>
      </c>
      <c r="H676" t="str">
        <f t="shared" si="11"/>
        <v>ok</v>
      </c>
    </row>
    <row r="677" spans="1:8" x14ac:dyDescent="0.3">
      <c r="A677" s="2">
        <v>46036</v>
      </c>
      <c r="B677" t="s">
        <v>7</v>
      </c>
      <c r="C677" t="s">
        <v>19</v>
      </c>
      <c r="D677" t="s">
        <v>13</v>
      </c>
      <c r="E677" t="s">
        <v>36</v>
      </c>
      <c r="F677" t="s">
        <v>697</v>
      </c>
      <c r="G677">
        <v>9.9901</v>
      </c>
      <c r="H677" t="str">
        <f t="shared" si="11"/>
        <v>ok</v>
      </c>
    </row>
    <row r="678" spans="1:8" x14ac:dyDescent="0.3">
      <c r="A678" s="2">
        <v>46036</v>
      </c>
      <c r="B678" t="s">
        <v>12</v>
      </c>
      <c r="C678" t="s">
        <v>16</v>
      </c>
      <c r="D678" t="s">
        <v>17</v>
      </c>
      <c r="E678" t="s">
        <v>14</v>
      </c>
      <c r="F678" t="s">
        <v>698</v>
      </c>
      <c r="G678">
        <v>10.031000000000001</v>
      </c>
      <c r="H678" t="str">
        <f t="shared" si="11"/>
        <v>ok</v>
      </c>
    </row>
    <row r="679" spans="1:8" x14ac:dyDescent="0.3">
      <c r="A679" s="2">
        <v>46036</v>
      </c>
      <c r="B679" t="s">
        <v>23</v>
      </c>
      <c r="C679" t="s">
        <v>8</v>
      </c>
      <c r="D679" t="s">
        <v>17</v>
      </c>
      <c r="E679" t="s">
        <v>14</v>
      </c>
      <c r="F679" t="s">
        <v>699</v>
      </c>
      <c r="G679">
        <v>9.9588999999999999</v>
      </c>
      <c r="H679" t="str">
        <f t="shared" si="11"/>
        <v>ok</v>
      </c>
    </row>
    <row r="680" spans="1:8" x14ac:dyDescent="0.3">
      <c r="A680" s="2">
        <v>46036</v>
      </c>
      <c r="B680" t="s">
        <v>12</v>
      </c>
      <c r="C680" t="s">
        <v>19</v>
      </c>
      <c r="D680" t="s">
        <v>9</v>
      </c>
      <c r="E680" t="s">
        <v>21</v>
      </c>
      <c r="F680" t="s">
        <v>700</v>
      </c>
      <c r="G680">
        <v>10.0436</v>
      </c>
      <c r="H680" t="str">
        <f t="shared" si="11"/>
        <v>ok</v>
      </c>
    </row>
    <row r="681" spans="1:8" x14ac:dyDescent="0.3">
      <c r="A681" s="2">
        <v>46036</v>
      </c>
      <c r="B681" t="s">
        <v>23</v>
      </c>
      <c r="C681" t="s">
        <v>8</v>
      </c>
      <c r="D681" t="s">
        <v>34</v>
      </c>
      <c r="E681" t="s">
        <v>14</v>
      </c>
      <c r="F681" t="s">
        <v>701</v>
      </c>
      <c r="G681">
        <v>9.9778000000000002</v>
      </c>
      <c r="H681" t="str">
        <f t="shared" si="11"/>
        <v>ok</v>
      </c>
    </row>
    <row r="682" spans="1:8" x14ac:dyDescent="0.3">
      <c r="A682" s="2">
        <v>46036</v>
      </c>
      <c r="B682" t="s">
        <v>7</v>
      </c>
      <c r="C682" t="s">
        <v>16</v>
      </c>
      <c r="D682" t="s">
        <v>9</v>
      </c>
      <c r="E682" t="s">
        <v>21</v>
      </c>
      <c r="F682" t="s">
        <v>702</v>
      </c>
      <c r="G682">
        <v>10.0037</v>
      </c>
      <c r="H682" t="str">
        <f t="shared" si="11"/>
        <v>ok</v>
      </c>
    </row>
    <row r="683" spans="1:8" x14ac:dyDescent="0.3">
      <c r="A683" s="2">
        <v>46036</v>
      </c>
      <c r="B683" t="s">
        <v>7</v>
      </c>
      <c r="C683" t="s">
        <v>8</v>
      </c>
      <c r="D683" t="s">
        <v>34</v>
      </c>
      <c r="E683" t="s">
        <v>10</v>
      </c>
      <c r="F683" t="s">
        <v>703</v>
      </c>
      <c r="G683">
        <v>9.9916999999999998</v>
      </c>
      <c r="H683" t="str">
        <f t="shared" si="11"/>
        <v>ok</v>
      </c>
    </row>
    <row r="684" spans="1:8" x14ac:dyDescent="0.3">
      <c r="A684" s="2">
        <v>46036</v>
      </c>
      <c r="B684" t="s">
        <v>7</v>
      </c>
      <c r="C684" t="s">
        <v>16</v>
      </c>
      <c r="D684" t="s">
        <v>13</v>
      </c>
      <c r="E684" t="s">
        <v>14</v>
      </c>
      <c r="F684" t="s">
        <v>704</v>
      </c>
      <c r="G684">
        <v>10.020099999999999</v>
      </c>
      <c r="H684" t="str">
        <f t="shared" si="11"/>
        <v>ok</v>
      </c>
    </row>
    <row r="685" spans="1:8" x14ac:dyDescent="0.3">
      <c r="A685" s="2">
        <v>46036</v>
      </c>
      <c r="B685" t="s">
        <v>23</v>
      </c>
      <c r="C685" t="s">
        <v>16</v>
      </c>
      <c r="D685" t="s">
        <v>34</v>
      </c>
      <c r="E685" t="s">
        <v>10</v>
      </c>
      <c r="F685" t="s">
        <v>705</v>
      </c>
      <c r="G685">
        <v>9.9846000000000004</v>
      </c>
      <c r="H685" t="str">
        <f t="shared" si="11"/>
        <v>ok</v>
      </c>
    </row>
    <row r="686" spans="1:8" x14ac:dyDescent="0.3">
      <c r="A686" s="2">
        <v>46036</v>
      </c>
      <c r="B686" t="s">
        <v>23</v>
      </c>
      <c r="C686" t="s">
        <v>16</v>
      </c>
      <c r="D686" t="s">
        <v>17</v>
      </c>
      <c r="E686" t="s">
        <v>21</v>
      </c>
      <c r="F686" t="s">
        <v>706</v>
      </c>
      <c r="G686">
        <v>9.9925999999999995</v>
      </c>
      <c r="H686" t="str">
        <f t="shared" si="11"/>
        <v>ok</v>
      </c>
    </row>
    <row r="687" spans="1:8" x14ac:dyDescent="0.3">
      <c r="A687" s="2">
        <v>46036</v>
      </c>
      <c r="B687" t="s">
        <v>7</v>
      </c>
      <c r="C687" t="s">
        <v>19</v>
      </c>
      <c r="D687" t="s">
        <v>17</v>
      </c>
      <c r="E687" t="s">
        <v>21</v>
      </c>
      <c r="F687" t="s">
        <v>707</v>
      </c>
      <c r="G687">
        <v>10.013999999999999</v>
      </c>
      <c r="H687" t="str">
        <f t="shared" si="11"/>
        <v>ok</v>
      </c>
    </row>
    <row r="688" spans="1:8" x14ac:dyDescent="0.3">
      <c r="A688" s="2">
        <v>46036</v>
      </c>
      <c r="B688" t="s">
        <v>23</v>
      </c>
      <c r="C688" t="s">
        <v>8</v>
      </c>
      <c r="D688" t="s">
        <v>34</v>
      </c>
      <c r="E688" t="s">
        <v>10</v>
      </c>
      <c r="F688" t="s">
        <v>708</v>
      </c>
      <c r="G688">
        <v>10.007</v>
      </c>
      <c r="H688" t="str">
        <f t="shared" si="11"/>
        <v>ok</v>
      </c>
    </row>
    <row r="689" spans="1:8" x14ac:dyDescent="0.3">
      <c r="A689" s="2">
        <v>46036</v>
      </c>
      <c r="B689" t="s">
        <v>7</v>
      </c>
      <c r="C689" t="s">
        <v>19</v>
      </c>
      <c r="D689" t="s">
        <v>17</v>
      </c>
      <c r="E689" t="s">
        <v>28</v>
      </c>
      <c r="F689" t="s">
        <v>709</v>
      </c>
      <c r="G689">
        <v>10.016400000000001</v>
      </c>
      <c r="H689" t="str">
        <f t="shared" si="11"/>
        <v>ok</v>
      </c>
    </row>
    <row r="690" spans="1:8" x14ac:dyDescent="0.3">
      <c r="A690" s="2">
        <v>46036</v>
      </c>
      <c r="B690" t="s">
        <v>12</v>
      </c>
      <c r="C690" t="s">
        <v>8</v>
      </c>
      <c r="D690" t="s">
        <v>13</v>
      </c>
      <c r="E690" t="s">
        <v>28</v>
      </c>
      <c r="F690" t="s">
        <v>710</v>
      </c>
      <c r="G690">
        <v>9.9727999999999994</v>
      </c>
      <c r="H690" t="str">
        <f t="shared" si="11"/>
        <v>ok</v>
      </c>
    </row>
    <row r="691" spans="1:8" x14ac:dyDescent="0.3">
      <c r="A691" s="2">
        <v>46036</v>
      </c>
      <c r="B691" t="s">
        <v>23</v>
      </c>
      <c r="C691" t="s">
        <v>16</v>
      </c>
      <c r="D691" t="s">
        <v>34</v>
      </c>
      <c r="E691" t="s">
        <v>14</v>
      </c>
      <c r="F691" t="s">
        <v>711</v>
      </c>
      <c r="G691">
        <v>9.984</v>
      </c>
      <c r="H691" t="str">
        <f t="shared" si="11"/>
        <v>ok</v>
      </c>
    </row>
    <row r="692" spans="1:8" x14ac:dyDescent="0.3">
      <c r="A692" s="2">
        <v>46036</v>
      </c>
      <c r="B692" t="s">
        <v>12</v>
      </c>
      <c r="C692" t="s">
        <v>16</v>
      </c>
      <c r="D692" t="s">
        <v>9</v>
      </c>
      <c r="E692" t="s">
        <v>10</v>
      </c>
      <c r="F692" t="s">
        <v>712</v>
      </c>
      <c r="G692">
        <v>9.9786999999999999</v>
      </c>
      <c r="H692" t="str">
        <f t="shared" si="11"/>
        <v>ok</v>
      </c>
    </row>
    <row r="693" spans="1:8" x14ac:dyDescent="0.3">
      <c r="A693" s="2">
        <v>46036</v>
      </c>
      <c r="B693" t="s">
        <v>23</v>
      </c>
      <c r="C693" t="s">
        <v>19</v>
      </c>
      <c r="D693" t="s">
        <v>34</v>
      </c>
      <c r="E693" t="s">
        <v>21</v>
      </c>
      <c r="F693" t="s">
        <v>713</v>
      </c>
      <c r="G693">
        <v>9.9992000000000001</v>
      </c>
      <c r="H693" t="str">
        <f t="shared" si="11"/>
        <v>ok</v>
      </c>
    </row>
    <row r="694" spans="1:8" x14ac:dyDescent="0.3">
      <c r="A694" s="2">
        <v>46036</v>
      </c>
      <c r="B694" t="s">
        <v>7</v>
      </c>
      <c r="C694" t="s">
        <v>16</v>
      </c>
      <c r="D694" t="s">
        <v>13</v>
      </c>
      <c r="E694" t="s">
        <v>14</v>
      </c>
      <c r="F694" t="s">
        <v>714</v>
      </c>
      <c r="G694">
        <v>9.9680999999999997</v>
      </c>
      <c r="H694" t="str">
        <f t="shared" si="11"/>
        <v>ok</v>
      </c>
    </row>
    <row r="695" spans="1:8" x14ac:dyDescent="0.3">
      <c r="A695" s="2">
        <v>46036</v>
      </c>
      <c r="B695" t="s">
        <v>23</v>
      </c>
      <c r="C695" t="s">
        <v>16</v>
      </c>
      <c r="D695" t="s">
        <v>34</v>
      </c>
      <c r="E695" t="s">
        <v>10</v>
      </c>
      <c r="F695" t="s">
        <v>715</v>
      </c>
      <c r="G695">
        <v>9.9887999999999995</v>
      </c>
      <c r="H695" t="str">
        <f t="shared" si="11"/>
        <v>ok</v>
      </c>
    </row>
    <row r="696" spans="1:8" x14ac:dyDescent="0.3">
      <c r="A696" s="2">
        <v>46036</v>
      </c>
      <c r="B696" t="s">
        <v>23</v>
      </c>
      <c r="C696" t="s">
        <v>8</v>
      </c>
      <c r="D696" t="s">
        <v>13</v>
      </c>
      <c r="E696" t="s">
        <v>28</v>
      </c>
      <c r="F696" t="s">
        <v>716</v>
      </c>
      <c r="G696">
        <v>10.0137</v>
      </c>
      <c r="H696" t="str">
        <f t="shared" si="11"/>
        <v>ok</v>
      </c>
    </row>
    <row r="697" spans="1:8" x14ac:dyDescent="0.3">
      <c r="A697" s="2">
        <v>46036</v>
      </c>
      <c r="B697" t="s">
        <v>7</v>
      </c>
      <c r="C697" t="s">
        <v>19</v>
      </c>
      <c r="D697" t="s">
        <v>9</v>
      </c>
      <c r="E697" t="s">
        <v>21</v>
      </c>
      <c r="F697" t="s">
        <v>717</v>
      </c>
      <c r="G697">
        <v>9.9984999999999999</v>
      </c>
      <c r="H697" t="str">
        <f t="shared" si="11"/>
        <v>ok</v>
      </c>
    </row>
    <row r="698" spans="1:8" x14ac:dyDescent="0.3">
      <c r="A698" s="2">
        <v>46036</v>
      </c>
      <c r="B698" t="s">
        <v>12</v>
      </c>
      <c r="C698" t="s">
        <v>19</v>
      </c>
      <c r="D698" t="s">
        <v>13</v>
      </c>
      <c r="E698" t="s">
        <v>10</v>
      </c>
      <c r="F698" t="s">
        <v>718</v>
      </c>
      <c r="G698">
        <v>10.073600000000001</v>
      </c>
      <c r="H698" t="str">
        <f t="shared" si="11"/>
        <v>ok</v>
      </c>
    </row>
    <row r="699" spans="1:8" x14ac:dyDescent="0.3">
      <c r="A699" s="2">
        <v>46036</v>
      </c>
      <c r="B699" t="s">
        <v>7</v>
      </c>
      <c r="C699" t="s">
        <v>19</v>
      </c>
      <c r="D699" t="s">
        <v>17</v>
      </c>
      <c r="E699" t="s">
        <v>14</v>
      </c>
      <c r="F699" t="s">
        <v>719</v>
      </c>
      <c r="G699">
        <v>10.0214</v>
      </c>
      <c r="H699" t="str">
        <f t="shared" si="11"/>
        <v>ok</v>
      </c>
    </row>
    <row r="700" spans="1:8" x14ac:dyDescent="0.3">
      <c r="A700" s="2">
        <v>46036</v>
      </c>
      <c r="B700" t="s">
        <v>7</v>
      </c>
      <c r="C700" t="s">
        <v>8</v>
      </c>
      <c r="D700" t="s">
        <v>13</v>
      </c>
      <c r="E700" t="s">
        <v>36</v>
      </c>
      <c r="F700" t="s">
        <v>720</v>
      </c>
      <c r="G700">
        <v>9.9906000000000006</v>
      </c>
      <c r="H700" t="str">
        <f t="shared" si="11"/>
        <v>ok</v>
      </c>
    </row>
    <row r="701" spans="1:8" x14ac:dyDescent="0.3">
      <c r="A701" s="2">
        <v>46036</v>
      </c>
      <c r="B701" t="s">
        <v>12</v>
      </c>
      <c r="C701" t="s">
        <v>8</v>
      </c>
      <c r="D701" t="s">
        <v>13</v>
      </c>
      <c r="E701" t="s">
        <v>21</v>
      </c>
      <c r="F701" t="s">
        <v>721</v>
      </c>
      <c r="G701">
        <v>10.112399999999999</v>
      </c>
      <c r="H701" t="str">
        <f t="shared" si="11"/>
        <v>ok</v>
      </c>
    </row>
    <row r="702" spans="1:8" x14ac:dyDescent="0.3">
      <c r="A702" s="2">
        <v>46037</v>
      </c>
      <c r="B702" t="s">
        <v>23</v>
      </c>
      <c r="C702" t="s">
        <v>16</v>
      </c>
      <c r="D702" t="s">
        <v>13</v>
      </c>
      <c r="E702" t="s">
        <v>21</v>
      </c>
      <c r="F702" t="s">
        <v>722</v>
      </c>
      <c r="G702">
        <v>9.9923999999999999</v>
      </c>
      <c r="H702" t="str">
        <f t="shared" si="11"/>
        <v>ok</v>
      </c>
    </row>
    <row r="703" spans="1:8" x14ac:dyDescent="0.3">
      <c r="A703" s="2">
        <v>46037</v>
      </c>
      <c r="B703" t="s">
        <v>7</v>
      </c>
      <c r="C703" t="s">
        <v>19</v>
      </c>
      <c r="D703" t="s">
        <v>9</v>
      </c>
      <c r="E703" t="s">
        <v>14</v>
      </c>
      <c r="F703" t="s">
        <v>723</v>
      </c>
      <c r="G703">
        <v>9.9722000000000008</v>
      </c>
      <c r="H703" t="str">
        <f t="shared" si="11"/>
        <v>ok</v>
      </c>
    </row>
    <row r="704" spans="1:8" x14ac:dyDescent="0.3">
      <c r="A704" s="2">
        <v>46037</v>
      </c>
      <c r="B704" t="s">
        <v>7</v>
      </c>
      <c r="C704" t="s">
        <v>19</v>
      </c>
      <c r="D704" t="s">
        <v>13</v>
      </c>
      <c r="E704" t="s">
        <v>14</v>
      </c>
      <c r="F704" t="s">
        <v>724</v>
      </c>
      <c r="G704">
        <v>9.9898000000000007</v>
      </c>
      <c r="H704" t="str">
        <f t="shared" si="11"/>
        <v>ok</v>
      </c>
    </row>
    <row r="705" spans="1:8" x14ac:dyDescent="0.3">
      <c r="A705" s="2">
        <v>46037</v>
      </c>
      <c r="B705" t="s">
        <v>7</v>
      </c>
      <c r="C705" t="s">
        <v>19</v>
      </c>
      <c r="D705" t="s">
        <v>9</v>
      </c>
      <c r="E705" t="s">
        <v>21</v>
      </c>
      <c r="F705" t="s">
        <v>725</v>
      </c>
      <c r="G705">
        <v>9.9981000000000009</v>
      </c>
      <c r="H705" t="str">
        <f t="shared" si="11"/>
        <v>ok</v>
      </c>
    </row>
    <row r="706" spans="1:8" x14ac:dyDescent="0.3">
      <c r="A706" s="2">
        <v>46037</v>
      </c>
      <c r="B706" t="s">
        <v>12</v>
      </c>
      <c r="C706" t="s">
        <v>19</v>
      </c>
      <c r="D706" t="s">
        <v>34</v>
      </c>
      <c r="E706" t="s">
        <v>14</v>
      </c>
      <c r="F706" t="s">
        <v>726</v>
      </c>
      <c r="G706">
        <v>10.030200000000001</v>
      </c>
      <c r="H706" t="str">
        <f t="shared" si="11"/>
        <v>ok</v>
      </c>
    </row>
    <row r="707" spans="1:8" x14ac:dyDescent="0.3">
      <c r="A707" s="2">
        <v>46037</v>
      </c>
      <c r="B707" t="s">
        <v>23</v>
      </c>
      <c r="C707" t="s">
        <v>16</v>
      </c>
      <c r="D707" t="s">
        <v>9</v>
      </c>
      <c r="E707" t="s">
        <v>36</v>
      </c>
      <c r="F707" t="s">
        <v>727</v>
      </c>
      <c r="G707">
        <v>9.9667999999999992</v>
      </c>
      <c r="H707" t="str">
        <f t="shared" si="11"/>
        <v>ok</v>
      </c>
    </row>
    <row r="708" spans="1:8" x14ac:dyDescent="0.3">
      <c r="A708" s="2">
        <v>46037</v>
      </c>
      <c r="B708" t="s">
        <v>23</v>
      </c>
      <c r="C708" t="s">
        <v>16</v>
      </c>
      <c r="D708" t="s">
        <v>9</v>
      </c>
      <c r="E708" t="s">
        <v>21</v>
      </c>
      <c r="F708" t="s">
        <v>728</v>
      </c>
      <c r="G708">
        <v>9.9877000000000002</v>
      </c>
      <c r="H708" t="str">
        <f t="shared" si="11"/>
        <v>ok</v>
      </c>
    </row>
    <row r="709" spans="1:8" x14ac:dyDescent="0.3">
      <c r="A709" s="2">
        <v>46037</v>
      </c>
      <c r="B709" t="s">
        <v>7</v>
      </c>
      <c r="C709" t="s">
        <v>8</v>
      </c>
      <c r="D709" t="s">
        <v>9</v>
      </c>
      <c r="E709" t="s">
        <v>28</v>
      </c>
      <c r="F709" t="s">
        <v>729</v>
      </c>
      <c r="G709">
        <v>10.0181</v>
      </c>
      <c r="H709" t="str">
        <f t="shared" si="11"/>
        <v>ok</v>
      </c>
    </row>
    <row r="710" spans="1:8" x14ac:dyDescent="0.3">
      <c r="A710" s="2">
        <v>46037</v>
      </c>
      <c r="B710" t="s">
        <v>7</v>
      </c>
      <c r="C710" t="s">
        <v>8</v>
      </c>
      <c r="D710" t="s">
        <v>34</v>
      </c>
      <c r="E710" t="s">
        <v>28</v>
      </c>
      <c r="F710" t="s">
        <v>730</v>
      </c>
      <c r="G710">
        <v>9.9893000000000001</v>
      </c>
      <c r="H710" t="str">
        <f t="shared" ref="H710:H773" si="12">IF(OR(G710&gt;10.5,G710&lt;9.95),"Defect","ok")</f>
        <v>ok</v>
      </c>
    </row>
    <row r="711" spans="1:8" x14ac:dyDescent="0.3">
      <c r="A711" s="2">
        <v>46037</v>
      </c>
      <c r="B711" t="s">
        <v>12</v>
      </c>
      <c r="C711" t="s">
        <v>16</v>
      </c>
      <c r="D711" t="s">
        <v>13</v>
      </c>
      <c r="E711" t="s">
        <v>28</v>
      </c>
      <c r="F711" t="s">
        <v>731</v>
      </c>
      <c r="G711">
        <v>10.0517</v>
      </c>
      <c r="H711" t="str">
        <f t="shared" si="12"/>
        <v>ok</v>
      </c>
    </row>
    <row r="712" spans="1:8" x14ac:dyDescent="0.3">
      <c r="A712" s="2">
        <v>46037</v>
      </c>
      <c r="B712" t="s">
        <v>7</v>
      </c>
      <c r="C712" t="s">
        <v>19</v>
      </c>
      <c r="D712" t="s">
        <v>13</v>
      </c>
      <c r="E712" t="s">
        <v>28</v>
      </c>
      <c r="F712" t="s">
        <v>732</v>
      </c>
      <c r="G712">
        <v>10.0274</v>
      </c>
      <c r="H712" t="str">
        <f t="shared" si="12"/>
        <v>ok</v>
      </c>
    </row>
    <row r="713" spans="1:8" x14ac:dyDescent="0.3">
      <c r="A713" s="2">
        <v>46037</v>
      </c>
      <c r="B713" t="s">
        <v>12</v>
      </c>
      <c r="C713" t="s">
        <v>8</v>
      </c>
      <c r="D713" t="s">
        <v>17</v>
      </c>
      <c r="E713" t="s">
        <v>28</v>
      </c>
      <c r="F713" t="s">
        <v>733</v>
      </c>
      <c r="G713">
        <v>10.020300000000001</v>
      </c>
      <c r="H713" t="str">
        <f t="shared" si="12"/>
        <v>ok</v>
      </c>
    </row>
    <row r="714" spans="1:8" x14ac:dyDescent="0.3">
      <c r="A714" s="2">
        <v>46037</v>
      </c>
      <c r="B714" t="s">
        <v>23</v>
      </c>
      <c r="C714" t="s">
        <v>16</v>
      </c>
      <c r="D714" t="s">
        <v>13</v>
      </c>
      <c r="E714" t="s">
        <v>36</v>
      </c>
      <c r="F714" t="s">
        <v>734</v>
      </c>
      <c r="G714">
        <v>9.9540000000000006</v>
      </c>
      <c r="H714" t="str">
        <f t="shared" si="12"/>
        <v>ok</v>
      </c>
    </row>
    <row r="715" spans="1:8" x14ac:dyDescent="0.3">
      <c r="A715" s="2">
        <v>46037</v>
      </c>
      <c r="B715" t="s">
        <v>12</v>
      </c>
      <c r="C715" t="s">
        <v>16</v>
      </c>
      <c r="D715" t="s">
        <v>17</v>
      </c>
      <c r="E715" t="s">
        <v>28</v>
      </c>
      <c r="F715" t="s">
        <v>735</v>
      </c>
      <c r="G715">
        <v>10.020799999999999</v>
      </c>
      <c r="H715" t="str">
        <f t="shared" si="12"/>
        <v>ok</v>
      </c>
    </row>
    <row r="716" spans="1:8" x14ac:dyDescent="0.3">
      <c r="A716" s="2">
        <v>46037</v>
      </c>
      <c r="B716" t="s">
        <v>12</v>
      </c>
      <c r="C716" t="s">
        <v>8</v>
      </c>
      <c r="D716" t="s">
        <v>9</v>
      </c>
      <c r="E716" t="s">
        <v>10</v>
      </c>
      <c r="F716" t="s">
        <v>736</v>
      </c>
      <c r="G716">
        <v>10.0067</v>
      </c>
      <c r="H716" t="str">
        <f t="shared" si="12"/>
        <v>ok</v>
      </c>
    </row>
    <row r="717" spans="1:8" x14ac:dyDescent="0.3">
      <c r="A717" s="2">
        <v>46037</v>
      </c>
      <c r="B717" t="s">
        <v>7</v>
      </c>
      <c r="C717" t="s">
        <v>19</v>
      </c>
      <c r="D717" t="s">
        <v>9</v>
      </c>
      <c r="E717" t="s">
        <v>21</v>
      </c>
      <c r="F717" t="s">
        <v>737</v>
      </c>
      <c r="G717">
        <v>10.001099999999999</v>
      </c>
      <c r="H717" t="str">
        <f t="shared" si="12"/>
        <v>ok</v>
      </c>
    </row>
    <row r="718" spans="1:8" x14ac:dyDescent="0.3">
      <c r="A718" s="2">
        <v>46037</v>
      </c>
      <c r="B718" t="s">
        <v>12</v>
      </c>
      <c r="C718" t="s">
        <v>8</v>
      </c>
      <c r="D718" t="s">
        <v>9</v>
      </c>
      <c r="E718" t="s">
        <v>28</v>
      </c>
      <c r="F718" t="s">
        <v>738</v>
      </c>
      <c r="G718">
        <v>9.9662000000000006</v>
      </c>
      <c r="H718" t="str">
        <f t="shared" si="12"/>
        <v>ok</v>
      </c>
    </row>
    <row r="719" spans="1:8" x14ac:dyDescent="0.3">
      <c r="A719" s="2">
        <v>46037</v>
      </c>
      <c r="B719" t="s">
        <v>12</v>
      </c>
      <c r="C719" t="s">
        <v>16</v>
      </c>
      <c r="D719" t="s">
        <v>17</v>
      </c>
      <c r="E719" t="s">
        <v>21</v>
      </c>
      <c r="F719" t="s">
        <v>739</v>
      </c>
      <c r="G719">
        <v>10.033099999999999</v>
      </c>
      <c r="H719" t="str">
        <f t="shared" si="12"/>
        <v>ok</v>
      </c>
    </row>
    <row r="720" spans="1:8" x14ac:dyDescent="0.3">
      <c r="A720" s="2">
        <v>46037</v>
      </c>
      <c r="B720" t="s">
        <v>12</v>
      </c>
      <c r="C720" t="s">
        <v>19</v>
      </c>
      <c r="D720" t="s">
        <v>34</v>
      </c>
      <c r="E720" t="s">
        <v>21</v>
      </c>
      <c r="F720" t="s">
        <v>740</v>
      </c>
      <c r="G720">
        <v>10.022</v>
      </c>
      <c r="H720" t="str">
        <f t="shared" si="12"/>
        <v>ok</v>
      </c>
    </row>
    <row r="721" spans="1:8" x14ac:dyDescent="0.3">
      <c r="A721" s="2">
        <v>46037</v>
      </c>
      <c r="B721" t="s">
        <v>7</v>
      </c>
      <c r="C721" t="s">
        <v>8</v>
      </c>
      <c r="D721" t="s">
        <v>9</v>
      </c>
      <c r="E721" t="s">
        <v>21</v>
      </c>
      <c r="F721" t="s">
        <v>741</v>
      </c>
      <c r="G721">
        <v>10.026899999999999</v>
      </c>
      <c r="H721" t="str">
        <f t="shared" si="12"/>
        <v>ok</v>
      </c>
    </row>
    <row r="722" spans="1:8" x14ac:dyDescent="0.3">
      <c r="A722" s="2">
        <v>46037</v>
      </c>
      <c r="B722" t="s">
        <v>12</v>
      </c>
      <c r="C722" t="s">
        <v>8</v>
      </c>
      <c r="D722" t="s">
        <v>9</v>
      </c>
      <c r="E722" t="s">
        <v>14</v>
      </c>
      <c r="F722" t="s">
        <v>742</v>
      </c>
      <c r="G722">
        <v>10.019600000000001</v>
      </c>
      <c r="H722" t="str">
        <f t="shared" si="12"/>
        <v>ok</v>
      </c>
    </row>
    <row r="723" spans="1:8" x14ac:dyDescent="0.3">
      <c r="A723" s="2">
        <v>46037</v>
      </c>
      <c r="B723" t="s">
        <v>23</v>
      </c>
      <c r="C723" t="s">
        <v>19</v>
      </c>
      <c r="D723" t="s">
        <v>9</v>
      </c>
      <c r="E723" t="s">
        <v>14</v>
      </c>
      <c r="F723" t="s">
        <v>743</v>
      </c>
      <c r="G723">
        <v>10.0009</v>
      </c>
      <c r="H723" t="str">
        <f t="shared" si="12"/>
        <v>ok</v>
      </c>
    </row>
    <row r="724" spans="1:8" x14ac:dyDescent="0.3">
      <c r="A724" s="2">
        <v>46037</v>
      </c>
      <c r="B724" t="s">
        <v>7</v>
      </c>
      <c r="C724" t="s">
        <v>16</v>
      </c>
      <c r="D724" t="s">
        <v>13</v>
      </c>
      <c r="E724" t="s">
        <v>21</v>
      </c>
      <c r="F724" t="s">
        <v>744</v>
      </c>
      <c r="G724">
        <v>9.9792000000000005</v>
      </c>
      <c r="H724" t="str">
        <f t="shared" si="12"/>
        <v>ok</v>
      </c>
    </row>
    <row r="725" spans="1:8" x14ac:dyDescent="0.3">
      <c r="A725" s="2">
        <v>46037</v>
      </c>
      <c r="B725" t="s">
        <v>23</v>
      </c>
      <c r="C725" t="s">
        <v>16</v>
      </c>
      <c r="D725" t="s">
        <v>17</v>
      </c>
      <c r="E725" t="s">
        <v>36</v>
      </c>
      <c r="F725" t="s">
        <v>745</v>
      </c>
      <c r="G725">
        <v>10.013400000000001</v>
      </c>
      <c r="H725" t="str">
        <f t="shared" si="12"/>
        <v>ok</v>
      </c>
    </row>
    <row r="726" spans="1:8" x14ac:dyDescent="0.3">
      <c r="A726" s="2">
        <v>46037</v>
      </c>
      <c r="B726" t="s">
        <v>12</v>
      </c>
      <c r="C726" t="s">
        <v>8</v>
      </c>
      <c r="D726" t="s">
        <v>13</v>
      </c>
      <c r="E726" t="s">
        <v>28</v>
      </c>
      <c r="F726" t="s">
        <v>746</v>
      </c>
      <c r="G726">
        <v>10.0273</v>
      </c>
      <c r="H726" t="str">
        <f t="shared" si="12"/>
        <v>ok</v>
      </c>
    </row>
    <row r="727" spans="1:8" x14ac:dyDescent="0.3">
      <c r="A727" s="2">
        <v>46037</v>
      </c>
      <c r="B727" t="s">
        <v>7</v>
      </c>
      <c r="C727" t="s">
        <v>16</v>
      </c>
      <c r="D727" t="s">
        <v>34</v>
      </c>
      <c r="E727" t="s">
        <v>28</v>
      </c>
      <c r="F727" t="s">
        <v>747</v>
      </c>
      <c r="G727">
        <v>10.017200000000001</v>
      </c>
      <c r="H727" t="str">
        <f t="shared" si="12"/>
        <v>ok</v>
      </c>
    </row>
    <row r="728" spans="1:8" x14ac:dyDescent="0.3">
      <c r="A728" s="2">
        <v>46037</v>
      </c>
      <c r="B728" t="s">
        <v>7</v>
      </c>
      <c r="C728" t="s">
        <v>19</v>
      </c>
      <c r="D728" t="s">
        <v>34</v>
      </c>
      <c r="E728" t="s">
        <v>21</v>
      </c>
      <c r="F728" t="s">
        <v>748</v>
      </c>
      <c r="G728">
        <v>9.9978999999999996</v>
      </c>
      <c r="H728" t="str">
        <f t="shared" si="12"/>
        <v>ok</v>
      </c>
    </row>
    <row r="729" spans="1:8" x14ac:dyDescent="0.3">
      <c r="A729" s="2">
        <v>46037</v>
      </c>
      <c r="B729" t="s">
        <v>23</v>
      </c>
      <c r="C729" t="s">
        <v>8</v>
      </c>
      <c r="D729" t="s">
        <v>34</v>
      </c>
      <c r="E729" t="s">
        <v>21</v>
      </c>
      <c r="F729" t="s">
        <v>749</v>
      </c>
      <c r="G729">
        <v>9.9789999999999992</v>
      </c>
      <c r="H729" t="str">
        <f t="shared" si="12"/>
        <v>ok</v>
      </c>
    </row>
    <row r="730" spans="1:8" x14ac:dyDescent="0.3">
      <c r="A730" s="2">
        <v>46037</v>
      </c>
      <c r="B730" t="s">
        <v>7</v>
      </c>
      <c r="C730" t="s">
        <v>8</v>
      </c>
      <c r="D730" t="s">
        <v>17</v>
      </c>
      <c r="E730" t="s">
        <v>10</v>
      </c>
      <c r="F730" t="s">
        <v>750</v>
      </c>
      <c r="G730">
        <v>10.021800000000001</v>
      </c>
      <c r="H730" t="str">
        <f t="shared" si="12"/>
        <v>ok</v>
      </c>
    </row>
    <row r="731" spans="1:8" x14ac:dyDescent="0.3">
      <c r="A731" s="2">
        <v>46037</v>
      </c>
      <c r="B731" t="s">
        <v>12</v>
      </c>
      <c r="C731" t="s">
        <v>19</v>
      </c>
      <c r="D731" t="s">
        <v>9</v>
      </c>
      <c r="E731" t="s">
        <v>21</v>
      </c>
      <c r="F731" t="s">
        <v>751</v>
      </c>
      <c r="G731">
        <v>10.052300000000001</v>
      </c>
      <c r="H731" t="str">
        <f t="shared" si="12"/>
        <v>ok</v>
      </c>
    </row>
    <row r="732" spans="1:8" x14ac:dyDescent="0.3">
      <c r="A732" s="2">
        <v>46037</v>
      </c>
      <c r="B732" t="s">
        <v>7</v>
      </c>
      <c r="C732" t="s">
        <v>16</v>
      </c>
      <c r="D732" t="s">
        <v>17</v>
      </c>
      <c r="E732" t="s">
        <v>10</v>
      </c>
      <c r="F732" t="s">
        <v>752</v>
      </c>
      <c r="G732">
        <v>9.9855999999999998</v>
      </c>
      <c r="H732" t="str">
        <f t="shared" si="12"/>
        <v>ok</v>
      </c>
    </row>
    <row r="733" spans="1:8" x14ac:dyDescent="0.3">
      <c r="A733" s="2">
        <v>46037</v>
      </c>
      <c r="B733" t="s">
        <v>23</v>
      </c>
      <c r="C733" t="s">
        <v>16</v>
      </c>
      <c r="D733" t="s">
        <v>17</v>
      </c>
      <c r="E733" t="s">
        <v>21</v>
      </c>
      <c r="F733" t="s">
        <v>753</v>
      </c>
      <c r="G733">
        <v>10.0076</v>
      </c>
      <c r="H733" t="str">
        <f t="shared" si="12"/>
        <v>ok</v>
      </c>
    </row>
    <row r="734" spans="1:8" x14ac:dyDescent="0.3">
      <c r="A734" s="2">
        <v>46037</v>
      </c>
      <c r="B734" t="s">
        <v>23</v>
      </c>
      <c r="C734" t="s">
        <v>16</v>
      </c>
      <c r="D734" t="s">
        <v>13</v>
      </c>
      <c r="E734" t="s">
        <v>36</v>
      </c>
      <c r="F734" t="s">
        <v>754</v>
      </c>
      <c r="G734">
        <v>10.010899999999999</v>
      </c>
      <c r="H734" t="str">
        <f t="shared" si="12"/>
        <v>ok</v>
      </c>
    </row>
    <row r="735" spans="1:8" x14ac:dyDescent="0.3">
      <c r="A735" s="2">
        <v>46037</v>
      </c>
      <c r="B735" t="s">
        <v>12</v>
      </c>
      <c r="C735" t="s">
        <v>8</v>
      </c>
      <c r="D735" t="s">
        <v>17</v>
      </c>
      <c r="E735" t="s">
        <v>21</v>
      </c>
      <c r="F735" t="s">
        <v>755</v>
      </c>
      <c r="G735">
        <v>9.9954000000000001</v>
      </c>
      <c r="H735" t="str">
        <f t="shared" si="12"/>
        <v>ok</v>
      </c>
    </row>
    <row r="736" spans="1:8" x14ac:dyDescent="0.3">
      <c r="A736" s="2">
        <v>46037</v>
      </c>
      <c r="B736" t="s">
        <v>12</v>
      </c>
      <c r="C736" t="s">
        <v>8</v>
      </c>
      <c r="D736" t="s">
        <v>34</v>
      </c>
      <c r="E736" t="s">
        <v>21</v>
      </c>
      <c r="F736" t="s">
        <v>756</v>
      </c>
      <c r="G736">
        <v>10.008699999999999</v>
      </c>
      <c r="H736" t="str">
        <f t="shared" si="12"/>
        <v>ok</v>
      </c>
    </row>
    <row r="737" spans="1:8" x14ac:dyDescent="0.3">
      <c r="A737" s="2">
        <v>46037</v>
      </c>
      <c r="B737" t="s">
        <v>12</v>
      </c>
      <c r="C737" t="s">
        <v>19</v>
      </c>
      <c r="D737" t="s">
        <v>34</v>
      </c>
      <c r="E737" t="s">
        <v>10</v>
      </c>
      <c r="F737" t="s">
        <v>757</v>
      </c>
      <c r="G737">
        <v>10.0031</v>
      </c>
      <c r="H737" t="str">
        <f t="shared" si="12"/>
        <v>ok</v>
      </c>
    </row>
    <row r="738" spans="1:8" x14ac:dyDescent="0.3">
      <c r="A738" s="2">
        <v>46037</v>
      </c>
      <c r="B738" t="s">
        <v>7</v>
      </c>
      <c r="C738" t="s">
        <v>19</v>
      </c>
      <c r="D738" t="s">
        <v>13</v>
      </c>
      <c r="E738" t="s">
        <v>36</v>
      </c>
      <c r="F738" t="s">
        <v>758</v>
      </c>
      <c r="G738">
        <v>9.9941999999999993</v>
      </c>
      <c r="H738" t="str">
        <f t="shared" si="12"/>
        <v>ok</v>
      </c>
    </row>
    <row r="739" spans="1:8" x14ac:dyDescent="0.3">
      <c r="A739" s="2">
        <v>46037</v>
      </c>
      <c r="B739" t="s">
        <v>7</v>
      </c>
      <c r="C739" t="s">
        <v>8</v>
      </c>
      <c r="D739" t="s">
        <v>34</v>
      </c>
      <c r="E739" t="s">
        <v>10</v>
      </c>
      <c r="F739" t="s">
        <v>759</v>
      </c>
      <c r="G739">
        <v>10.000999999999999</v>
      </c>
      <c r="H739" t="str">
        <f t="shared" si="12"/>
        <v>ok</v>
      </c>
    </row>
    <row r="740" spans="1:8" x14ac:dyDescent="0.3">
      <c r="A740" s="2">
        <v>46037</v>
      </c>
      <c r="B740" t="s">
        <v>12</v>
      </c>
      <c r="C740" t="s">
        <v>8</v>
      </c>
      <c r="D740" t="s">
        <v>34</v>
      </c>
      <c r="E740" t="s">
        <v>14</v>
      </c>
      <c r="F740" t="s">
        <v>760</v>
      </c>
      <c r="G740">
        <v>10.0596</v>
      </c>
      <c r="H740" t="str">
        <f t="shared" si="12"/>
        <v>ok</v>
      </c>
    </row>
    <row r="741" spans="1:8" x14ac:dyDescent="0.3">
      <c r="A741" s="2">
        <v>46037</v>
      </c>
      <c r="B741" t="s">
        <v>7</v>
      </c>
      <c r="C741" t="s">
        <v>8</v>
      </c>
      <c r="D741" t="s">
        <v>17</v>
      </c>
      <c r="E741" t="s">
        <v>14</v>
      </c>
      <c r="F741" t="s">
        <v>761</v>
      </c>
      <c r="G741">
        <v>9.9748000000000001</v>
      </c>
      <c r="H741" t="str">
        <f t="shared" si="12"/>
        <v>ok</v>
      </c>
    </row>
    <row r="742" spans="1:8" x14ac:dyDescent="0.3">
      <c r="A742" s="2">
        <v>46037</v>
      </c>
      <c r="B742" t="s">
        <v>7</v>
      </c>
      <c r="C742" t="s">
        <v>19</v>
      </c>
      <c r="D742" t="s">
        <v>17</v>
      </c>
      <c r="E742" t="s">
        <v>36</v>
      </c>
      <c r="F742" t="s">
        <v>762</v>
      </c>
      <c r="G742">
        <v>9.9991000000000003</v>
      </c>
      <c r="H742" t="str">
        <f t="shared" si="12"/>
        <v>ok</v>
      </c>
    </row>
    <row r="743" spans="1:8" x14ac:dyDescent="0.3">
      <c r="A743" s="2">
        <v>46037</v>
      </c>
      <c r="B743" t="s">
        <v>7</v>
      </c>
      <c r="C743" t="s">
        <v>8</v>
      </c>
      <c r="D743" t="s">
        <v>13</v>
      </c>
      <c r="E743" t="s">
        <v>36</v>
      </c>
      <c r="F743" t="s">
        <v>763</v>
      </c>
      <c r="G743">
        <v>9.9846000000000004</v>
      </c>
      <c r="H743" t="str">
        <f t="shared" si="12"/>
        <v>ok</v>
      </c>
    </row>
    <row r="744" spans="1:8" x14ac:dyDescent="0.3">
      <c r="A744" s="2">
        <v>46037</v>
      </c>
      <c r="B744" t="s">
        <v>12</v>
      </c>
      <c r="C744" t="s">
        <v>19</v>
      </c>
      <c r="D744" t="s">
        <v>17</v>
      </c>
      <c r="E744" t="s">
        <v>36</v>
      </c>
      <c r="F744" t="s">
        <v>764</v>
      </c>
      <c r="G744">
        <v>10.022600000000001</v>
      </c>
      <c r="H744" t="str">
        <f t="shared" si="12"/>
        <v>ok</v>
      </c>
    </row>
    <row r="745" spans="1:8" x14ac:dyDescent="0.3">
      <c r="A745" s="2">
        <v>46037</v>
      </c>
      <c r="B745" t="s">
        <v>7</v>
      </c>
      <c r="C745" t="s">
        <v>8</v>
      </c>
      <c r="D745" t="s">
        <v>13</v>
      </c>
      <c r="E745" t="s">
        <v>10</v>
      </c>
      <c r="F745" t="s">
        <v>765</v>
      </c>
      <c r="G745">
        <v>10.0024</v>
      </c>
      <c r="H745" t="str">
        <f t="shared" si="12"/>
        <v>ok</v>
      </c>
    </row>
    <row r="746" spans="1:8" x14ac:dyDescent="0.3">
      <c r="A746" s="2">
        <v>46037</v>
      </c>
      <c r="B746" t="s">
        <v>23</v>
      </c>
      <c r="C746" t="s">
        <v>8</v>
      </c>
      <c r="D746" t="s">
        <v>17</v>
      </c>
      <c r="E746" t="s">
        <v>10</v>
      </c>
      <c r="F746" t="s">
        <v>766</v>
      </c>
      <c r="G746">
        <v>10.004300000000001</v>
      </c>
      <c r="H746" t="str">
        <f t="shared" si="12"/>
        <v>ok</v>
      </c>
    </row>
    <row r="747" spans="1:8" x14ac:dyDescent="0.3">
      <c r="A747" s="2">
        <v>46037</v>
      </c>
      <c r="B747" t="s">
        <v>12</v>
      </c>
      <c r="C747" t="s">
        <v>8</v>
      </c>
      <c r="D747" t="s">
        <v>9</v>
      </c>
      <c r="E747" t="s">
        <v>36</v>
      </c>
      <c r="F747" t="s">
        <v>767</v>
      </c>
      <c r="G747">
        <v>10.0029</v>
      </c>
      <c r="H747" t="str">
        <f t="shared" si="12"/>
        <v>ok</v>
      </c>
    </row>
    <row r="748" spans="1:8" x14ac:dyDescent="0.3">
      <c r="A748" s="2">
        <v>46037</v>
      </c>
      <c r="B748" t="s">
        <v>12</v>
      </c>
      <c r="C748" t="s">
        <v>16</v>
      </c>
      <c r="D748" t="s">
        <v>34</v>
      </c>
      <c r="E748" t="s">
        <v>14</v>
      </c>
      <c r="F748" t="s">
        <v>768</v>
      </c>
      <c r="G748">
        <v>10.0159</v>
      </c>
      <c r="H748" t="str">
        <f t="shared" si="12"/>
        <v>ok</v>
      </c>
    </row>
    <row r="749" spans="1:8" x14ac:dyDescent="0.3">
      <c r="A749" s="2">
        <v>46037</v>
      </c>
      <c r="B749" t="s">
        <v>23</v>
      </c>
      <c r="C749" t="s">
        <v>19</v>
      </c>
      <c r="D749" t="s">
        <v>9</v>
      </c>
      <c r="E749" t="s">
        <v>10</v>
      </c>
      <c r="F749" t="s">
        <v>769</v>
      </c>
      <c r="G749">
        <v>10.026300000000001</v>
      </c>
      <c r="H749" t="str">
        <f t="shared" si="12"/>
        <v>ok</v>
      </c>
    </row>
    <row r="750" spans="1:8" x14ac:dyDescent="0.3">
      <c r="A750" s="2">
        <v>46037</v>
      </c>
      <c r="B750" t="s">
        <v>12</v>
      </c>
      <c r="C750" t="s">
        <v>8</v>
      </c>
      <c r="D750" t="s">
        <v>17</v>
      </c>
      <c r="E750" t="s">
        <v>14</v>
      </c>
      <c r="F750" t="s">
        <v>770</v>
      </c>
      <c r="G750">
        <v>10.0223</v>
      </c>
      <c r="H750" t="str">
        <f t="shared" si="12"/>
        <v>ok</v>
      </c>
    </row>
    <row r="751" spans="1:8" x14ac:dyDescent="0.3">
      <c r="A751" s="2">
        <v>46037</v>
      </c>
      <c r="B751" t="s">
        <v>23</v>
      </c>
      <c r="C751" t="s">
        <v>19</v>
      </c>
      <c r="D751" t="s">
        <v>13</v>
      </c>
      <c r="E751" t="s">
        <v>36</v>
      </c>
      <c r="F751" t="s">
        <v>771</v>
      </c>
      <c r="G751">
        <v>10.0251</v>
      </c>
      <c r="H751" t="str">
        <f t="shared" si="12"/>
        <v>ok</v>
      </c>
    </row>
    <row r="752" spans="1:8" x14ac:dyDescent="0.3">
      <c r="A752" s="2">
        <v>46038</v>
      </c>
      <c r="B752" t="s">
        <v>7</v>
      </c>
      <c r="C752" t="s">
        <v>8</v>
      </c>
      <c r="D752" t="s">
        <v>13</v>
      </c>
      <c r="E752" t="s">
        <v>10</v>
      </c>
      <c r="F752" t="s">
        <v>772</v>
      </c>
      <c r="G752">
        <v>9.9926999999999992</v>
      </c>
      <c r="H752" t="str">
        <f t="shared" si="12"/>
        <v>ok</v>
      </c>
    </row>
    <row r="753" spans="1:8" x14ac:dyDescent="0.3">
      <c r="A753" s="2">
        <v>46038</v>
      </c>
      <c r="B753" t="s">
        <v>7</v>
      </c>
      <c r="C753" t="s">
        <v>16</v>
      </c>
      <c r="D753" t="s">
        <v>17</v>
      </c>
      <c r="E753" t="s">
        <v>36</v>
      </c>
      <c r="F753" t="s">
        <v>773</v>
      </c>
      <c r="G753">
        <v>9.9982000000000006</v>
      </c>
      <c r="H753" t="str">
        <f t="shared" si="12"/>
        <v>ok</v>
      </c>
    </row>
    <row r="754" spans="1:8" x14ac:dyDescent="0.3">
      <c r="A754" s="2">
        <v>46038</v>
      </c>
      <c r="B754" t="s">
        <v>7</v>
      </c>
      <c r="C754" t="s">
        <v>16</v>
      </c>
      <c r="D754" t="s">
        <v>34</v>
      </c>
      <c r="E754" t="s">
        <v>21</v>
      </c>
      <c r="F754" t="s">
        <v>774</v>
      </c>
      <c r="G754">
        <v>10.0009</v>
      </c>
      <c r="H754" t="str">
        <f t="shared" si="12"/>
        <v>ok</v>
      </c>
    </row>
    <row r="755" spans="1:8" x14ac:dyDescent="0.3">
      <c r="A755" s="2">
        <v>46038</v>
      </c>
      <c r="B755" t="s">
        <v>23</v>
      </c>
      <c r="C755" t="s">
        <v>19</v>
      </c>
      <c r="D755" t="s">
        <v>17</v>
      </c>
      <c r="E755" t="s">
        <v>36</v>
      </c>
      <c r="F755" t="s">
        <v>775</v>
      </c>
      <c r="G755">
        <v>9.9841999999999995</v>
      </c>
      <c r="H755" t="str">
        <f t="shared" si="12"/>
        <v>ok</v>
      </c>
    </row>
    <row r="756" spans="1:8" x14ac:dyDescent="0.3">
      <c r="A756" s="2">
        <v>46038</v>
      </c>
      <c r="B756" t="s">
        <v>23</v>
      </c>
      <c r="C756" t="s">
        <v>16</v>
      </c>
      <c r="D756" t="s">
        <v>9</v>
      </c>
      <c r="E756" t="s">
        <v>36</v>
      </c>
      <c r="F756" t="s">
        <v>776</v>
      </c>
      <c r="G756">
        <v>9.9896999999999991</v>
      </c>
      <c r="H756" t="str">
        <f t="shared" si="12"/>
        <v>ok</v>
      </c>
    </row>
    <row r="757" spans="1:8" x14ac:dyDescent="0.3">
      <c r="A757" s="2">
        <v>46038</v>
      </c>
      <c r="B757" t="s">
        <v>7</v>
      </c>
      <c r="C757" t="s">
        <v>16</v>
      </c>
      <c r="D757" t="s">
        <v>13</v>
      </c>
      <c r="E757" t="s">
        <v>10</v>
      </c>
      <c r="F757" t="s">
        <v>777</v>
      </c>
      <c r="G757">
        <v>9.9923000000000002</v>
      </c>
      <c r="H757" t="str">
        <f t="shared" si="12"/>
        <v>ok</v>
      </c>
    </row>
    <row r="758" spans="1:8" x14ac:dyDescent="0.3">
      <c r="A758" s="2">
        <v>46038</v>
      </c>
      <c r="B758" t="s">
        <v>7</v>
      </c>
      <c r="C758" t="s">
        <v>16</v>
      </c>
      <c r="D758" t="s">
        <v>34</v>
      </c>
      <c r="E758" t="s">
        <v>36</v>
      </c>
      <c r="F758" t="s">
        <v>778</v>
      </c>
      <c r="G758">
        <v>9.9995999999999992</v>
      </c>
      <c r="H758" t="str">
        <f t="shared" si="12"/>
        <v>ok</v>
      </c>
    </row>
    <row r="759" spans="1:8" x14ac:dyDescent="0.3">
      <c r="A759" s="2">
        <v>46038</v>
      </c>
      <c r="B759" t="s">
        <v>23</v>
      </c>
      <c r="C759" t="s">
        <v>8</v>
      </c>
      <c r="D759" t="s">
        <v>17</v>
      </c>
      <c r="E759" t="s">
        <v>10</v>
      </c>
      <c r="F759" t="s">
        <v>779</v>
      </c>
      <c r="G759">
        <v>10.035399999999999</v>
      </c>
      <c r="H759" t="str">
        <f t="shared" si="12"/>
        <v>ok</v>
      </c>
    </row>
    <row r="760" spans="1:8" x14ac:dyDescent="0.3">
      <c r="A760" s="2">
        <v>46038</v>
      </c>
      <c r="B760" t="s">
        <v>23</v>
      </c>
      <c r="C760" t="s">
        <v>19</v>
      </c>
      <c r="D760" t="s">
        <v>34</v>
      </c>
      <c r="E760" t="s">
        <v>28</v>
      </c>
      <c r="F760" t="s">
        <v>780</v>
      </c>
      <c r="G760">
        <v>10.012700000000001</v>
      </c>
      <c r="H760" t="str">
        <f t="shared" si="12"/>
        <v>ok</v>
      </c>
    </row>
    <row r="761" spans="1:8" x14ac:dyDescent="0.3">
      <c r="A761" s="2">
        <v>46038</v>
      </c>
      <c r="B761" t="s">
        <v>7</v>
      </c>
      <c r="C761" t="s">
        <v>19</v>
      </c>
      <c r="D761" t="s">
        <v>17</v>
      </c>
      <c r="E761" t="s">
        <v>36</v>
      </c>
      <c r="F761" t="s">
        <v>781</v>
      </c>
      <c r="G761">
        <v>10.0136</v>
      </c>
      <c r="H761" t="str">
        <f t="shared" si="12"/>
        <v>ok</v>
      </c>
    </row>
    <row r="762" spans="1:8" x14ac:dyDescent="0.3">
      <c r="A762" s="2">
        <v>46038</v>
      </c>
      <c r="B762" t="s">
        <v>23</v>
      </c>
      <c r="C762" t="s">
        <v>19</v>
      </c>
      <c r="D762" t="s">
        <v>9</v>
      </c>
      <c r="E762" t="s">
        <v>21</v>
      </c>
      <c r="F762" t="s">
        <v>782</v>
      </c>
      <c r="G762">
        <v>9.9816000000000003</v>
      </c>
      <c r="H762" t="str">
        <f t="shared" si="12"/>
        <v>ok</v>
      </c>
    </row>
    <row r="763" spans="1:8" x14ac:dyDescent="0.3">
      <c r="A763" s="2">
        <v>46038</v>
      </c>
      <c r="B763" t="s">
        <v>12</v>
      </c>
      <c r="C763" t="s">
        <v>16</v>
      </c>
      <c r="D763" t="s">
        <v>13</v>
      </c>
      <c r="E763" t="s">
        <v>21</v>
      </c>
      <c r="F763" t="s">
        <v>783</v>
      </c>
      <c r="G763">
        <v>10.0764</v>
      </c>
      <c r="H763" t="str">
        <f t="shared" si="12"/>
        <v>ok</v>
      </c>
    </row>
    <row r="764" spans="1:8" x14ac:dyDescent="0.3">
      <c r="A764" s="2">
        <v>46038</v>
      </c>
      <c r="B764" t="s">
        <v>12</v>
      </c>
      <c r="C764" t="s">
        <v>19</v>
      </c>
      <c r="D764" t="s">
        <v>13</v>
      </c>
      <c r="E764" t="s">
        <v>36</v>
      </c>
      <c r="F764" t="s">
        <v>784</v>
      </c>
      <c r="G764">
        <v>10.028</v>
      </c>
      <c r="H764" t="str">
        <f t="shared" si="12"/>
        <v>ok</v>
      </c>
    </row>
    <row r="765" spans="1:8" x14ac:dyDescent="0.3">
      <c r="A765" s="2">
        <v>46038</v>
      </c>
      <c r="B765" t="s">
        <v>7</v>
      </c>
      <c r="C765" t="s">
        <v>19</v>
      </c>
      <c r="D765" t="s">
        <v>17</v>
      </c>
      <c r="E765" t="s">
        <v>36</v>
      </c>
      <c r="F765" t="s">
        <v>785</v>
      </c>
      <c r="G765">
        <v>10.0328</v>
      </c>
      <c r="H765" t="str">
        <f t="shared" si="12"/>
        <v>ok</v>
      </c>
    </row>
    <row r="766" spans="1:8" x14ac:dyDescent="0.3">
      <c r="A766" s="2">
        <v>46038</v>
      </c>
      <c r="B766" t="s">
        <v>23</v>
      </c>
      <c r="C766" t="s">
        <v>16</v>
      </c>
      <c r="D766" t="s">
        <v>34</v>
      </c>
      <c r="E766" t="s">
        <v>21</v>
      </c>
      <c r="F766" t="s">
        <v>786</v>
      </c>
      <c r="G766">
        <v>10.020200000000001</v>
      </c>
      <c r="H766" t="str">
        <f t="shared" si="12"/>
        <v>ok</v>
      </c>
    </row>
    <row r="767" spans="1:8" x14ac:dyDescent="0.3">
      <c r="A767" s="2">
        <v>46038</v>
      </c>
      <c r="B767" t="s">
        <v>23</v>
      </c>
      <c r="C767" t="s">
        <v>19</v>
      </c>
      <c r="D767" t="s">
        <v>34</v>
      </c>
      <c r="E767" t="s">
        <v>21</v>
      </c>
      <c r="F767" t="s">
        <v>787</v>
      </c>
      <c r="G767">
        <v>10.0078</v>
      </c>
      <c r="H767" t="str">
        <f t="shared" si="12"/>
        <v>ok</v>
      </c>
    </row>
    <row r="768" spans="1:8" x14ac:dyDescent="0.3">
      <c r="A768" s="2">
        <v>46038</v>
      </c>
      <c r="B768" t="s">
        <v>7</v>
      </c>
      <c r="C768" t="s">
        <v>8</v>
      </c>
      <c r="D768" t="s">
        <v>17</v>
      </c>
      <c r="E768" t="s">
        <v>14</v>
      </c>
      <c r="F768" t="s">
        <v>788</v>
      </c>
      <c r="G768">
        <v>9.9670000000000005</v>
      </c>
      <c r="H768" t="str">
        <f t="shared" si="12"/>
        <v>ok</v>
      </c>
    </row>
    <row r="769" spans="1:8" x14ac:dyDescent="0.3">
      <c r="A769" s="2">
        <v>46038</v>
      </c>
      <c r="B769" t="s">
        <v>23</v>
      </c>
      <c r="C769" t="s">
        <v>19</v>
      </c>
      <c r="D769" t="s">
        <v>13</v>
      </c>
      <c r="E769" t="s">
        <v>21</v>
      </c>
      <c r="F769" t="s">
        <v>789</v>
      </c>
      <c r="G769">
        <v>10.0334</v>
      </c>
      <c r="H769" t="str">
        <f t="shared" si="12"/>
        <v>ok</v>
      </c>
    </row>
    <row r="770" spans="1:8" x14ac:dyDescent="0.3">
      <c r="A770" s="2">
        <v>46038</v>
      </c>
      <c r="B770" t="s">
        <v>12</v>
      </c>
      <c r="C770" t="s">
        <v>8</v>
      </c>
      <c r="D770" t="s">
        <v>9</v>
      </c>
      <c r="E770" t="s">
        <v>10</v>
      </c>
      <c r="F770" t="s">
        <v>790</v>
      </c>
      <c r="G770">
        <v>9.9530999999999992</v>
      </c>
      <c r="H770" t="str">
        <f t="shared" si="12"/>
        <v>ok</v>
      </c>
    </row>
    <row r="771" spans="1:8" x14ac:dyDescent="0.3">
      <c r="A771" s="2">
        <v>46038</v>
      </c>
      <c r="B771" t="s">
        <v>23</v>
      </c>
      <c r="C771" t="s">
        <v>16</v>
      </c>
      <c r="D771" t="s">
        <v>17</v>
      </c>
      <c r="E771" t="s">
        <v>36</v>
      </c>
      <c r="F771" t="s">
        <v>791</v>
      </c>
      <c r="G771">
        <v>9.9720999999999993</v>
      </c>
      <c r="H771" t="str">
        <f t="shared" si="12"/>
        <v>ok</v>
      </c>
    </row>
    <row r="772" spans="1:8" x14ac:dyDescent="0.3">
      <c r="A772" s="2">
        <v>46038</v>
      </c>
      <c r="B772" t="s">
        <v>7</v>
      </c>
      <c r="C772" t="s">
        <v>19</v>
      </c>
      <c r="D772" t="s">
        <v>9</v>
      </c>
      <c r="E772" t="s">
        <v>28</v>
      </c>
      <c r="F772" t="s">
        <v>792</v>
      </c>
      <c r="G772">
        <v>9.9954000000000001</v>
      </c>
      <c r="H772" t="str">
        <f t="shared" si="12"/>
        <v>ok</v>
      </c>
    </row>
    <row r="773" spans="1:8" x14ac:dyDescent="0.3">
      <c r="A773" s="2">
        <v>46038</v>
      </c>
      <c r="B773" t="s">
        <v>7</v>
      </c>
      <c r="C773" t="s">
        <v>8</v>
      </c>
      <c r="D773" t="s">
        <v>17</v>
      </c>
      <c r="E773" t="s">
        <v>10</v>
      </c>
      <c r="F773" t="s">
        <v>793</v>
      </c>
      <c r="G773">
        <v>9.9890000000000008</v>
      </c>
      <c r="H773" t="str">
        <f t="shared" si="12"/>
        <v>ok</v>
      </c>
    </row>
    <row r="774" spans="1:8" x14ac:dyDescent="0.3">
      <c r="A774" s="2">
        <v>46038</v>
      </c>
      <c r="B774" t="s">
        <v>7</v>
      </c>
      <c r="C774" t="s">
        <v>8</v>
      </c>
      <c r="D774" t="s">
        <v>9</v>
      </c>
      <c r="E774" t="s">
        <v>14</v>
      </c>
      <c r="F774" t="s">
        <v>794</v>
      </c>
      <c r="G774">
        <v>9.9951000000000008</v>
      </c>
      <c r="H774" t="str">
        <f t="shared" ref="H774:H837" si="13">IF(OR(G774&gt;10.5,G774&lt;9.95),"Defect","ok")</f>
        <v>ok</v>
      </c>
    </row>
    <row r="775" spans="1:8" x14ac:dyDescent="0.3">
      <c r="A775" s="2">
        <v>46038</v>
      </c>
      <c r="B775" t="s">
        <v>7</v>
      </c>
      <c r="C775" t="s">
        <v>16</v>
      </c>
      <c r="D775" t="s">
        <v>17</v>
      </c>
      <c r="E775" t="s">
        <v>36</v>
      </c>
      <c r="F775" t="s">
        <v>795</v>
      </c>
      <c r="G775">
        <v>9.9751999999999992</v>
      </c>
      <c r="H775" t="str">
        <f t="shared" si="13"/>
        <v>ok</v>
      </c>
    </row>
    <row r="776" spans="1:8" x14ac:dyDescent="0.3">
      <c r="A776" s="2">
        <v>46038</v>
      </c>
      <c r="B776" t="s">
        <v>12</v>
      </c>
      <c r="C776" t="s">
        <v>8</v>
      </c>
      <c r="D776" t="s">
        <v>9</v>
      </c>
      <c r="E776" t="s">
        <v>10</v>
      </c>
      <c r="F776" t="s">
        <v>796</v>
      </c>
      <c r="G776">
        <v>9.9949999999999992</v>
      </c>
      <c r="H776" t="str">
        <f t="shared" si="13"/>
        <v>ok</v>
      </c>
    </row>
    <row r="777" spans="1:8" x14ac:dyDescent="0.3">
      <c r="A777" s="2">
        <v>46038</v>
      </c>
      <c r="B777" t="s">
        <v>12</v>
      </c>
      <c r="C777" t="s">
        <v>19</v>
      </c>
      <c r="D777" t="s">
        <v>9</v>
      </c>
      <c r="E777" t="s">
        <v>36</v>
      </c>
      <c r="F777" t="s">
        <v>797</v>
      </c>
      <c r="G777">
        <v>10.048500000000001</v>
      </c>
      <c r="H777" t="str">
        <f t="shared" si="13"/>
        <v>ok</v>
      </c>
    </row>
    <row r="778" spans="1:8" x14ac:dyDescent="0.3">
      <c r="A778" s="2">
        <v>46038</v>
      </c>
      <c r="B778" t="s">
        <v>7</v>
      </c>
      <c r="C778" t="s">
        <v>19</v>
      </c>
      <c r="D778" t="s">
        <v>13</v>
      </c>
      <c r="E778" t="s">
        <v>10</v>
      </c>
      <c r="F778" t="s">
        <v>798</v>
      </c>
      <c r="G778">
        <v>9.9921000000000006</v>
      </c>
      <c r="H778" t="str">
        <f t="shared" si="13"/>
        <v>ok</v>
      </c>
    </row>
    <row r="779" spans="1:8" x14ac:dyDescent="0.3">
      <c r="A779" s="2">
        <v>46038</v>
      </c>
      <c r="B779" t="s">
        <v>7</v>
      </c>
      <c r="C779" t="s">
        <v>16</v>
      </c>
      <c r="D779" t="s">
        <v>34</v>
      </c>
      <c r="E779" t="s">
        <v>36</v>
      </c>
      <c r="F779" t="s">
        <v>799</v>
      </c>
      <c r="G779">
        <v>10.0038</v>
      </c>
      <c r="H779" t="str">
        <f t="shared" si="13"/>
        <v>ok</v>
      </c>
    </row>
    <row r="780" spans="1:8" x14ac:dyDescent="0.3">
      <c r="A780" s="2">
        <v>46038</v>
      </c>
      <c r="B780" t="s">
        <v>23</v>
      </c>
      <c r="C780" t="s">
        <v>16</v>
      </c>
      <c r="D780" t="s">
        <v>34</v>
      </c>
      <c r="E780" t="s">
        <v>21</v>
      </c>
      <c r="F780" t="s">
        <v>800</v>
      </c>
      <c r="G780">
        <v>9.9944000000000006</v>
      </c>
      <c r="H780" t="str">
        <f t="shared" si="13"/>
        <v>ok</v>
      </c>
    </row>
    <row r="781" spans="1:8" x14ac:dyDescent="0.3">
      <c r="A781" s="2">
        <v>46038</v>
      </c>
      <c r="B781" t="s">
        <v>12</v>
      </c>
      <c r="C781" t="s">
        <v>16</v>
      </c>
      <c r="D781" t="s">
        <v>13</v>
      </c>
      <c r="E781" t="s">
        <v>14</v>
      </c>
      <c r="F781" t="s">
        <v>801</v>
      </c>
      <c r="G781">
        <v>10.010199999999999</v>
      </c>
      <c r="H781" t="str">
        <f t="shared" si="13"/>
        <v>ok</v>
      </c>
    </row>
    <row r="782" spans="1:8" x14ac:dyDescent="0.3">
      <c r="A782" s="2">
        <v>46038</v>
      </c>
      <c r="B782" t="s">
        <v>7</v>
      </c>
      <c r="C782" t="s">
        <v>8</v>
      </c>
      <c r="D782" t="s">
        <v>13</v>
      </c>
      <c r="E782" t="s">
        <v>14</v>
      </c>
      <c r="F782" t="s">
        <v>802</v>
      </c>
      <c r="G782">
        <v>10.015700000000001</v>
      </c>
      <c r="H782" t="str">
        <f t="shared" si="13"/>
        <v>ok</v>
      </c>
    </row>
    <row r="783" spans="1:8" x14ac:dyDescent="0.3">
      <c r="A783" s="2">
        <v>46038</v>
      </c>
      <c r="B783" t="s">
        <v>7</v>
      </c>
      <c r="C783" t="s">
        <v>16</v>
      </c>
      <c r="D783" t="s">
        <v>9</v>
      </c>
      <c r="E783" t="s">
        <v>28</v>
      </c>
      <c r="F783" t="s">
        <v>803</v>
      </c>
      <c r="G783">
        <v>9.9970999999999997</v>
      </c>
      <c r="H783" t="str">
        <f t="shared" si="13"/>
        <v>ok</v>
      </c>
    </row>
    <row r="784" spans="1:8" x14ac:dyDescent="0.3">
      <c r="A784" s="2">
        <v>46038</v>
      </c>
      <c r="B784" t="s">
        <v>12</v>
      </c>
      <c r="C784" t="s">
        <v>19</v>
      </c>
      <c r="D784" t="s">
        <v>13</v>
      </c>
      <c r="E784" t="s">
        <v>21</v>
      </c>
      <c r="F784" t="s">
        <v>804</v>
      </c>
      <c r="G784">
        <v>9.9749999999999996</v>
      </c>
      <c r="H784" t="str">
        <f t="shared" si="13"/>
        <v>ok</v>
      </c>
    </row>
    <row r="785" spans="1:8" x14ac:dyDescent="0.3">
      <c r="A785" s="2">
        <v>46038</v>
      </c>
      <c r="B785" t="s">
        <v>7</v>
      </c>
      <c r="C785" t="s">
        <v>19</v>
      </c>
      <c r="D785" t="s">
        <v>17</v>
      </c>
      <c r="E785" t="s">
        <v>28</v>
      </c>
      <c r="F785" t="s">
        <v>805</v>
      </c>
      <c r="G785">
        <v>9.9963999999999995</v>
      </c>
      <c r="H785" t="str">
        <f t="shared" si="13"/>
        <v>ok</v>
      </c>
    </row>
    <row r="786" spans="1:8" x14ac:dyDescent="0.3">
      <c r="A786" s="2">
        <v>46038</v>
      </c>
      <c r="B786" t="s">
        <v>7</v>
      </c>
      <c r="C786" t="s">
        <v>19</v>
      </c>
      <c r="D786" t="s">
        <v>9</v>
      </c>
      <c r="E786" t="s">
        <v>21</v>
      </c>
      <c r="F786" t="s">
        <v>806</v>
      </c>
      <c r="G786">
        <v>10.028</v>
      </c>
      <c r="H786" t="str">
        <f t="shared" si="13"/>
        <v>ok</v>
      </c>
    </row>
    <row r="787" spans="1:8" x14ac:dyDescent="0.3">
      <c r="A787" s="2">
        <v>46038</v>
      </c>
      <c r="B787" t="s">
        <v>23</v>
      </c>
      <c r="C787" t="s">
        <v>19</v>
      </c>
      <c r="D787" t="s">
        <v>9</v>
      </c>
      <c r="E787" t="s">
        <v>21</v>
      </c>
      <c r="F787" t="s">
        <v>807</v>
      </c>
      <c r="G787">
        <v>9.9875000000000007</v>
      </c>
      <c r="H787" t="str">
        <f t="shared" si="13"/>
        <v>ok</v>
      </c>
    </row>
    <row r="788" spans="1:8" x14ac:dyDescent="0.3">
      <c r="A788" s="2">
        <v>46038</v>
      </c>
      <c r="B788" t="s">
        <v>23</v>
      </c>
      <c r="C788" t="s">
        <v>19</v>
      </c>
      <c r="D788" t="s">
        <v>17</v>
      </c>
      <c r="E788" t="s">
        <v>14</v>
      </c>
      <c r="F788" t="s">
        <v>808</v>
      </c>
      <c r="G788">
        <v>10.007099999999999</v>
      </c>
      <c r="H788" t="str">
        <f t="shared" si="13"/>
        <v>ok</v>
      </c>
    </row>
    <row r="789" spans="1:8" x14ac:dyDescent="0.3">
      <c r="A789" s="2">
        <v>46038</v>
      </c>
      <c r="B789" t="s">
        <v>23</v>
      </c>
      <c r="C789" t="s">
        <v>19</v>
      </c>
      <c r="D789" t="s">
        <v>13</v>
      </c>
      <c r="E789" t="s">
        <v>14</v>
      </c>
      <c r="F789" t="s">
        <v>809</v>
      </c>
      <c r="G789">
        <v>9.9847000000000001</v>
      </c>
      <c r="H789" t="str">
        <f t="shared" si="13"/>
        <v>ok</v>
      </c>
    </row>
    <row r="790" spans="1:8" x14ac:dyDescent="0.3">
      <c r="A790" s="2">
        <v>46038</v>
      </c>
      <c r="B790" t="s">
        <v>12</v>
      </c>
      <c r="C790" t="s">
        <v>8</v>
      </c>
      <c r="D790" t="s">
        <v>17</v>
      </c>
      <c r="E790" t="s">
        <v>36</v>
      </c>
      <c r="F790" t="s">
        <v>810</v>
      </c>
      <c r="G790">
        <v>10.0406</v>
      </c>
      <c r="H790" t="str">
        <f t="shared" si="13"/>
        <v>ok</v>
      </c>
    </row>
    <row r="791" spans="1:8" x14ac:dyDescent="0.3">
      <c r="A791" s="2">
        <v>46038</v>
      </c>
      <c r="B791" t="s">
        <v>12</v>
      </c>
      <c r="C791" t="s">
        <v>16</v>
      </c>
      <c r="D791" t="s">
        <v>13</v>
      </c>
      <c r="E791" t="s">
        <v>28</v>
      </c>
      <c r="F791" t="s">
        <v>811</v>
      </c>
      <c r="G791">
        <v>10.06</v>
      </c>
      <c r="H791" t="str">
        <f t="shared" si="13"/>
        <v>ok</v>
      </c>
    </row>
    <row r="792" spans="1:8" x14ac:dyDescent="0.3">
      <c r="A792" s="2">
        <v>46038</v>
      </c>
      <c r="B792" t="s">
        <v>23</v>
      </c>
      <c r="C792" t="s">
        <v>16</v>
      </c>
      <c r="D792" t="s">
        <v>9</v>
      </c>
      <c r="E792" t="s">
        <v>36</v>
      </c>
      <c r="F792" t="s">
        <v>812</v>
      </c>
      <c r="G792">
        <v>9.9738000000000007</v>
      </c>
      <c r="H792" t="str">
        <f t="shared" si="13"/>
        <v>ok</v>
      </c>
    </row>
    <row r="793" spans="1:8" x14ac:dyDescent="0.3">
      <c r="A793" s="2">
        <v>46038</v>
      </c>
      <c r="B793" t="s">
        <v>7</v>
      </c>
      <c r="C793" t="s">
        <v>16</v>
      </c>
      <c r="D793" t="s">
        <v>34</v>
      </c>
      <c r="E793" t="s">
        <v>36</v>
      </c>
      <c r="F793" t="s">
        <v>813</v>
      </c>
      <c r="G793">
        <v>9.9535</v>
      </c>
      <c r="H793" t="str">
        <f t="shared" si="13"/>
        <v>ok</v>
      </c>
    </row>
    <row r="794" spans="1:8" x14ac:dyDescent="0.3">
      <c r="A794" s="2">
        <v>46038</v>
      </c>
      <c r="B794" t="s">
        <v>23</v>
      </c>
      <c r="C794" t="s">
        <v>16</v>
      </c>
      <c r="D794" t="s">
        <v>13</v>
      </c>
      <c r="E794" t="s">
        <v>28</v>
      </c>
      <c r="F794" t="s">
        <v>814</v>
      </c>
      <c r="G794">
        <v>10.0124</v>
      </c>
      <c r="H794" t="str">
        <f t="shared" si="13"/>
        <v>ok</v>
      </c>
    </row>
    <row r="795" spans="1:8" x14ac:dyDescent="0.3">
      <c r="A795" s="2">
        <v>46038</v>
      </c>
      <c r="B795" t="s">
        <v>23</v>
      </c>
      <c r="C795" t="s">
        <v>16</v>
      </c>
      <c r="D795" t="s">
        <v>17</v>
      </c>
      <c r="E795" t="s">
        <v>36</v>
      </c>
      <c r="F795" t="s">
        <v>815</v>
      </c>
      <c r="G795">
        <v>9.9894999999999996</v>
      </c>
      <c r="H795" t="str">
        <f t="shared" si="13"/>
        <v>ok</v>
      </c>
    </row>
    <row r="796" spans="1:8" x14ac:dyDescent="0.3">
      <c r="A796" s="2">
        <v>46038</v>
      </c>
      <c r="B796" t="s">
        <v>12</v>
      </c>
      <c r="C796" t="s">
        <v>8</v>
      </c>
      <c r="D796" t="s">
        <v>17</v>
      </c>
      <c r="E796" t="s">
        <v>28</v>
      </c>
      <c r="F796" t="s">
        <v>816</v>
      </c>
      <c r="G796">
        <v>10.0608</v>
      </c>
      <c r="H796" t="str">
        <f t="shared" si="13"/>
        <v>ok</v>
      </c>
    </row>
    <row r="797" spans="1:8" x14ac:dyDescent="0.3">
      <c r="A797" s="2">
        <v>46038</v>
      </c>
      <c r="B797" t="s">
        <v>7</v>
      </c>
      <c r="C797" t="s">
        <v>16</v>
      </c>
      <c r="D797" t="s">
        <v>9</v>
      </c>
      <c r="E797" t="s">
        <v>21</v>
      </c>
      <c r="F797" t="s">
        <v>817</v>
      </c>
      <c r="G797">
        <v>10.004099999999999</v>
      </c>
      <c r="H797" t="str">
        <f t="shared" si="13"/>
        <v>ok</v>
      </c>
    </row>
    <row r="798" spans="1:8" x14ac:dyDescent="0.3">
      <c r="A798" s="2">
        <v>46038</v>
      </c>
      <c r="B798" t="s">
        <v>12</v>
      </c>
      <c r="C798" t="s">
        <v>8</v>
      </c>
      <c r="D798" t="s">
        <v>13</v>
      </c>
      <c r="E798" t="s">
        <v>10</v>
      </c>
      <c r="F798" t="s">
        <v>818</v>
      </c>
      <c r="G798">
        <v>9.9901</v>
      </c>
      <c r="H798" t="str">
        <f t="shared" si="13"/>
        <v>ok</v>
      </c>
    </row>
    <row r="799" spans="1:8" x14ac:dyDescent="0.3">
      <c r="A799" s="2">
        <v>46038</v>
      </c>
      <c r="B799" t="s">
        <v>23</v>
      </c>
      <c r="C799" t="s">
        <v>16</v>
      </c>
      <c r="D799" t="s">
        <v>17</v>
      </c>
      <c r="E799" t="s">
        <v>28</v>
      </c>
      <c r="F799" t="s">
        <v>819</v>
      </c>
      <c r="G799">
        <v>9.9880999999999993</v>
      </c>
      <c r="H799" t="str">
        <f t="shared" si="13"/>
        <v>ok</v>
      </c>
    </row>
    <row r="800" spans="1:8" x14ac:dyDescent="0.3">
      <c r="A800" s="2">
        <v>46038</v>
      </c>
      <c r="B800" t="s">
        <v>12</v>
      </c>
      <c r="C800" t="s">
        <v>8</v>
      </c>
      <c r="D800" t="s">
        <v>17</v>
      </c>
      <c r="E800" t="s">
        <v>36</v>
      </c>
      <c r="F800" t="s">
        <v>820</v>
      </c>
      <c r="G800">
        <v>9.9944000000000006</v>
      </c>
      <c r="H800" t="str">
        <f t="shared" si="13"/>
        <v>ok</v>
      </c>
    </row>
    <row r="801" spans="1:8" x14ac:dyDescent="0.3">
      <c r="A801" s="2">
        <v>46038</v>
      </c>
      <c r="B801" t="s">
        <v>12</v>
      </c>
      <c r="C801" t="s">
        <v>16</v>
      </c>
      <c r="D801" t="s">
        <v>13</v>
      </c>
      <c r="E801" t="s">
        <v>36</v>
      </c>
      <c r="F801" t="s">
        <v>821</v>
      </c>
      <c r="G801">
        <v>9.9882000000000009</v>
      </c>
      <c r="H801" t="str">
        <f t="shared" si="13"/>
        <v>ok</v>
      </c>
    </row>
    <row r="802" spans="1:8" x14ac:dyDescent="0.3">
      <c r="A802" s="2">
        <v>46039</v>
      </c>
      <c r="B802" t="s">
        <v>23</v>
      </c>
      <c r="C802" t="s">
        <v>16</v>
      </c>
      <c r="D802" t="s">
        <v>13</v>
      </c>
      <c r="E802" t="s">
        <v>10</v>
      </c>
      <c r="F802" t="s">
        <v>822</v>
      </c>
      <c r="G802">
        <v>9.9769000000000005</v>
      </c>
      <c r="H802" t="str">
        <f t="shared" si="13"/>
        <v>ok</v>
      </c>
    </row>
    <row r="803" spans="1:8" x14ac:dyDescent="0.3">
      <c r="A803" s="2">
        <v>46039</v>
      </c>
      <c r="B803" t="s">
        <v>12</v>
      </c>
      <c r="C803" t="s">
        <v>16</v>
      </c>
      <c r="D803" t="s">
        <v>13</v>
      </c>
      <c r="E803" t="s">
        <v>21</v>
      </c>
      <c r="F803" t="s">
        <v>823</v>
      </c>
      <c r="G803">
        <v>10.0433</v>
      </c>
      <c r="H803" t="str">
        <f t="shared" si="13"/>
        <v>ok</v>
      </c>
    </row>
    <row r="804" spans="1:8" x14ac:dyDescent="0.3">
      <c r="A804" s="2">
        <v>46039</v>
      </c>
      <c r="B804" t="s">
        <v>12</v>
      </c>
      <c r="C804" t="s">
        <v>8</v>
      </c>
      <c r="D804" t="s">
        <v>17</v>
      </c>
      <c r="E804" t="s">
        <v>21</v>
      </c>
      <c r="F804" t="s">
        <v>824</v>
      </c>
      <c r="G804">
        <v>10.0372</v>
      </c>
      <c r="H804" t="str">
        <f t="shared" si="13"/>
        <v>ok</v>
      </c>
    </row>
    <row r="805" spans="1:8" x14ac:dyDescent="0.3">
      <c r="A805" s="2">
        <v>46039</v>
      </c>
      <c r="B805" t="s">
        <v>12</v>
      </c>
      <c r="C805" t="s">
        <v>16</v>
      </c>
      <c r="D805" t="s">
        <v>9</v>
      </c>
      <c r="E805" t="s">
        <v>28</v>
      </c>
      <c r="F805" t="s">
        <v>825</v>
      </c>
      <c r="G805">
        <v>9.9944000000000006</v>
      </c>
      <c r="H805" t="str">
        <f t="shared" si="13"/>
        <v>ok</v>
      </c>
    </row>
    <row r="806" spans="1:8" x14ac:dyDescent="0.3">
      <c r="A806" s="2">
        <v>46039</v>
      </c>
      <c r="B806" t="s">
        <v>12</v>
      </c>
      <c r="C806" t="s">
        <v>8</v>
      </c>
      <c r="D806" t="s">
        <v>13</v>
      </c>
      <c r="E806" t="s">
        <v>21</v>
      </c>
      <c r="F806" t="s">
        <v>826</v>
      </c>
      <c r="G806">
        <v>10.012700000000001</v>
      </c>
      <c r="H806" t="str">
        <f t="shared" si="13"/>
        <v>ok</v>
      </c>
    </row>
    <row r="807" spans="1:8" x14ac:dyDescent="0.3">
      <c r="A807" s="2">
        <v>46039</v>
      </c>
      <c r="B807" t="s">
        <v>12</v>
      </c>
      <c r="C807" t="s">
        <v>19</v>
      </c>
      <c r="D807" t="s">
        <v>9</v>
      </c>
      <c r="E807" t="s">
        <v>36</v>
      </c>
      <c r="F807" t="s">
        <v>827</v>
      </c>
      <c r="G807">
        <v>10.055999999999999</v>
      </c>
      <c r="H807" t="str">
        <f t="shared" si="13"/>
        <v>ok</v>
      </c>
    </row>
    <row r="808" spans="1:8" x14ac:dyDescent="0.3">
      <c r="A808" s="2">
        <v>46039</v>
      </c>
      <c r="B808" t="s">
        <v>23</v>
      </c>
      <c r="C808" t="s">
        <v>8</v>
      </c>
      <c r="D808" t="s">
        <v>13</v>
      </c>
      <c r="E808" t="s">
        <v>28</v>
      </c>
      <c r="F808" t="s">
        <v>828</v>
      </c>
      <c r="G808">
        <v>10.0212</v>
      </c>
      <c r="H808" t="str">
        <f t="shared" si="13"/>
        <v>ok</v>
      </c>
    </row>
    <row r="809" spans="1:8" x14ac:dyDescent="0.3">
      <c r="A809" s="2">
        <v>46039</v>
      </c>
      <c r="B809" t="s">
        <v>23</v>
      </c>
      <c r="C809" t="s">
        <v>19</v>
      </c>
      <c r="D809" t="s">
        <v>9</v>
      </c>
      <c r="E809" t="s">
        <v>14</v>
      </c>
      <c r="F809" t="s">
        <v>829</v>
      </c>
      <c r="G809">
        <v>10.008800000000001</v>
      </c>
      <c r="H809" t="str">
        <f t="shared" si="13"/>
        <v>ok</v>
      </c>
    </row>
    <row r="810" spans="1:8" x14ac:dyDescent="0.3">
      <c r="A810" s="2">
        <v>46039</v>
      </c>
      <c r="B810" t="s">
        <v>7</v>
      </c>
      <c r="C810" t="s">
        <v>8</v>
      </c>
      <c r="D810" t="s">
        <v>34</v>
      </c>
      <c r="E810" t="s">
        <v>36</v>
      </c>
      <c r="F810" t="s">
        <v>830</v>
      </c>
      <c r="G810">
        <v>10.0091</v>
      </c>
      <c r="H810" t="str">
        <f t="shared" si="13"/>
        <v>ok</v>
      </c>
    </row>
    <row r="811" spans="1:8" x14ac:dyDescent="0.3">
      <c r="A811" s="2">
        <v>46039</v>
      </c>
      <c r="B811" t="s">
        <v>12</v>
      </c>
      <c r="C811" t="s">
        <v>19</v>
      </c>
      <c r="D811" t="s">
        <v>17</v>
      </c>
      <c r="E811" t="s">
        <v>28</v>
      </c>
      <c r="F811" t="s">
        <v>831</v>
      </c>
      <c r="G811">
        <v>10.0388</v>
      </c>
      <c r="H811" t="str">
        <f t="shared" si="13"/>
        <v>ok</v>
      </c>
    </row>
    <row r="812" spans="1:8" x14ac:dyDescent="0.3">
      <c r="A812" s="2">
        <v>46039</v>
      </c>
      <c r="B812" t="s">
        <v>23</v>
      </c>
      <c r="C812" t="s">
        <v>8</v>
      </c>
      <c r="D812" t="s">
        <v>17</v>
      </c>
      <c r="E812" t="s">
        <v>28</v>
      </c>
      <c r="F812" t="s">
        <v>832</v>
      </c>
      <c r="G812">
        <v>9.9723000000000006</v>
      </c>
      <c r="H812" t="str">
        <f t="shared" si="13"/>
        <v>ok</v>
      </c>
    </row>
    <row r="813" spans="1:8" x14ac:dyDescent="0.3">
      <c r="A813" s="2">
        <v>46039</v>
      </c>
      <c r="B813" t="s">
        <v>23</v>
      </c>
      <c r="C813" t="s">
        <v>8</v>
      </c>
      <c r="D813" t="s">
        <v>17</v>
      </c>
      <c r="E813" t="s">
        <v>21</v>
      </c>
      <c r="F813" t="s">
        <v>833</v>
      </c>
      <c r="G813">
        <v>9.9992999999999999</v>
      </c>
      <c r="H813" t="str">
        <f t="shared" si="13"/>
        <v>ok</v>
      </c>
    </row>
    <row r="814" spans="1:8" x14ac:dyDescent="0.3">
      <c r="A814" s="2">
        <v>46039</v>
      </c>
      <c r="B814" t="s">
        <v>23</v>
      </c>
      <c r="C814" t="s">
        <v>16</v>
      </c>
      <c r="D814" t="s">
        <v>13</v>
      </c>
      <c r="E814" t="s">
        <v>36</v>
      </c>
      <c r="F814" t="s">
        <v>834</v>
      </c>
      <c r="G814">
        <v>10.003500000000001</v>
      </c>
      <c r="H814" t="str">
        <f t="shared" si="13"/>
        <v>ok</v>
      </c>
    </row>
    <row r="815" spans="1:8" x14ac:dyDescent="0.3">
      <c r="A815" s="2">
        <v>46039</v>
      </c>
      <c r="B815" t="s">
        <v>23</v>
      </c>
      <c r="C815" t="s">
        <v>16</v>
      </c>
      <c r="D815" t="s">
        <v>9</v>
      </c>
      <c r="E815" t="s">
        <v>21</v>
      </c>
      <c r="F815" t="s">
        <v>835</v>
      </c>
      <c r="G815">
        <v>10.0059</v>
      </c>
      <c r="H815" t="str">
        <f t="shared" si="13"/>
        <v>ok</v>
      </c>
    </row>
    <row r="816" spans="1:8" x14ac:dyDescent="0.3">
      <c r="A816" s="2">
        <v>46039</v>
      </c>
      <c r="B816" t="s">
        <v>12</v>
      </c>
      <c r="C816" t="s">
        <v>16</v>
      </c>
      <c r="D816" t="s">
        <v>34</v>
      </c>
      <c r="E816" t="s">
        <v>14</v>
      </c>
      <c r="F816" t="s">
        <v>836</v>
      </c>
      <c r="G816">
        <v>10.053000000000001</v>
      </c>
      <c r="H816" t="str">
        <f t="shared" si="13"/>
        <v>ok</v>
      </c>
    </row>
    <row r="817" spans="1:8" x14ac:dyDescent="0.3">
      <c r="A817" s="2">
        <v>46039</v>
      </c>
      <c r="B817" t="s">
        <v>7</v>
      </c>
      <c r="C817" t="s">
        <v>16</v>
      </c>
      <c r="D817" t="s">
        <v>9</v>
      </c>
      <c r="E817" t="s">
        <v>14</v>
      </c>
      <c r="F817" t="s">
        <v>837</v>
      </c>
      <c r="G817">
        <v>9.9997000000000007</v>
      </c>
      <c r="H817" t="str">
        <f t="shared" si="13"/>
        <v>ok</v>
      </c>
    </row>
    <row r="818" spans="1:8" x14ac:dyDescent="0.3">
      <c r="A818" s="2">
        <v>46039</v>
      </c>
      <c r="B818" t="s">
        <v>23</v>
      </c>
      <c r="C818" t="s">
        <v>8</v>
      </c>
      <c r="D818" t="s">
        <v>34</v>
      </c>
      <c r="E818" t="s">
        <v>28</v>
      </c>
      <c r="F818" t="s">
        <v>838</v>
      </c>
      <c r="G818">
        <v>9.9846000000000004</v>
      </c>
      <c r="H818" t="str">
        <f t="shared" si="13"/>
        <v>ok</v>
      </c>
    </row>
    <row r="819" spans="1:8" x14ac:dyDescent="0.3">
      <c r="A819" s="2">
        <v>46039</v>
      </c>
      <c r="B819" t="s">
        <v>12</v>
      </c>
      <c r="C819" t="s">
        <v>16</v>
      </c>
      <c r="D819" t="s">
        <v>34</v>
      </c>
      <c r="E819" t="s">
        <v>21</v>
      </c>
      <c r="F819" t="s">
        <v>839</v>
      </c>
      <c r="G819">
        <v>10.039199999999999</v>
      </c>
      <c r="H819" t="str">
        <f t="shared" si="13"/>
        <v>ok</v>
      </c>
    </row>
    <row r="820" spans="1:8" x14ac:dyDescent="0.3">
      <c r="A820" s="2">
        <v>46039</v>
      </c>
      <c r="B820" t="s">
        <v>7</v>
      </c>
      <c r="C820" t="s">
        <v>16</v>
      </c>
      <c r="D820" t="s">
        <v>17</v>
      </c>
      <c r="E820" t="s">
        <v>36</v>
      </c>
      <c r="F820" t="s">
        <v>840</v>
      </c>
      <c r="G820">
        <v>10.034700000000001</v>
      </c>
      <c r="H820" t="str">
        <f t="shared" si="13"/>
        <v>ok</v>
      </c>
    </row>
    <row r="821" spans="1:8" x14ac:dyDescent="0.3">
      <c r="A821" s="2">
        <v>46039</v>
      </c>
      <c r="B821" t="s">
        <v>23</v>
      </c>
      <c r="C821" t="s">
        <v>16</v>
      </c>
      <c r="D821" t="s">
        <v>9</v>
      </c>
      <c r="E821" t="s">
        <v>21</v>
      </c>
      <c r="F821" t="s">
        <v>841</v>
      </c>
      <c r="G821">
        <v>10.0251</v>
      </c>
      <c r="H821" t="str">
        <f t="shared" si="13"/>
        <v>ok</v>
      </c>
    </row>
    <row r="822" spans="1:8" x14ac:dyDescent="0.3">
      <c r="A822" s="2">
        <v>46039</v>
      </c>
      <c r="B822" t="s">
        <v>12</v>
      </c>
      <c r="C822" t="s">
        <v>16</v>
      </c>
      <c r="D822" t="s">
        <v>34</v>
      </c>
      <c r="E822" t="s">
        <v>10</v>
      </c>
      <c r="F822" t="s">
        <v>842</v>
      </c>
      <c r="G822">
        <v>9.9957999999999991</v>
      </c>
      <c r="H822" t="str">
        <f t="shared" si="13"/>
        <v>ok</v>
      </c>
    </row>
    <row r="823" spans="1:8" x14ac:dyDescent="0.3">
      <c r="A823" s="2">
        <v>46039</v>
      </c>
      <c r="B823" t="s">
        <v>23</v>
      </c>
      <c r="C823" t="s">
        <v>16</v>
      </c>
      <c r="D823" t="s">
        <v>34</v>
      </c>
      <c r="E823" t="s">
        <v>36</v>
      </c>
      <c r="F823" t="s">
        <v>843</v>
      </c>
      <c r="G823">
        <v>10.0136</v>
      </c>
      <c r="H823" t="str">
        <f t="shared" si="13"/>
        <v>ok</v>
      </c>
    </row>
    <row r="824" spans="1:8" x14ac:dyDescent="0.3">
      <c r="A824" s="2">
        <v>46039</v>
      </c>
      <c r="B824" t="s">
        <v>7</v>
      </c>
      <c r="C824" t="s">
        <v>16</v>
      </c>
      <c r="D824" t="s">
        <v>17</v>
      </c>
      <c r="E824" t="s">
        <v>10</v>
      </c>
      <c r="F824" t="s">
        <v>844</v>
      </c>
      <c r="G824">
        <v>9.9710000000000001</v>
      </c>
      <c r="H824" t="str">
        <f t="shared" si="13"/>
        <v>ok</v>
      </c>
    </row>
    <row r="825" spans="1:8" x14ac:dyDescent="0.3">
      <c r="A825" s="2">
        <v>46039</v>
      </c>
      <c r="B825" t="s">
        <v>23</v>
      </c>
      <c r="C825" t="s">
        <v>19</v>
      </c>
      <c r="D825" t="s">
        <v>34</v>
      </c>
      <c r="E825" t="s">
        <v>21</v>
      </c>
      <c r="F825" t="s">
        <v>845</v>
      </c>
      <c r="G825">
        <v>9.9946000000000002</v>
      </c>
      <c r="H825" t="str">
        <f t="shared" si="13"/>
        <v>ok</v>
      </c>
    </row>
    <row r="826" spans="1:8" x14ac:dyDescent="0.3">
      <c r="A826" s="2">
        <v>46039</v>
      </c>
      <c r="B826" t="s">
        <v>23</v>
      </c>
      <c r="C826" t="s">
        <v>16</v>
      </c>
      <c r="D826" t="s">
        <v>34</v>
      </c>
      <c r="E826" t="s">
        <v>10</v>
      </c>
      <c r="F826" t="s">
        <v>846</v>
      </c>
      <c r="G826">
        <v>9.9899000000000004</v>
      </c>
      <c r="H826" t="str">
        <f t="shared" si="13"/>
        <v>ok</v>
      </c>
    </row>
    <row r="827" spans="1:8" x14ac:dyDescent="0.3">
      <c r="A827" s="2">
        <v>46039</v>
      </c>
      <c r="B827" t="s">
        <v>12</v>
      </c>
      <c r="C827" t="s">
        <v>16</v>
      </c>
      <c r="D827" t="s">
        <v>34</v>
      </c>
      <c r="E827" t="s">
        <v>21</v>
      </c>
      <c r="F827" t="s">
        <v>847</v>
      </c>
      <c r="G827">
        <v>10.0318</v>
      </c>
      <c r="H827" t="str">
        <f t="shared" si="13"/>
        <v>ok</v>
      </c>
    </row>
    <row r="828" spans="1:8" x14ac:dyDescent="0.3">
      <c r="A828" s="2">
        <v>46039</v>
      </c>
      <c r="B828" t="s">
        <v>12</v>
      </c>
      <c r="C828" t="s">
        <v>19</v>
      </c>
      <c r="D828" t="s">
        <v>17</v>
      </c>
      <c r="E828" t="s">
        <v>28</v>
      </c>
      <c r="F828" t="s">
        <v>848</v>
      </c>
      <c r="G828">
        <v>10.0319</v>
      </c>
      <c r="H828" t="str">
        <f t="shared" si="13"/>
        <v>ok</v>
      </c>
    </row>
    <row r="829" spans="1:8" x14ac:dyDescent="0.3">
      <c r="A829" s="2">
        <v>46039</v>
      </c>
      <c r="B829" t="s">
        <v>12</v>
      </c>
      <c r="C829" t="s">
        <v>16</v>
      </c>
      <c r="D829" t="s">
        <v>13</v>
      </c>
      <c r="E829" t="s">
        <v>14</v>
      </c>
      <c r="F829" t="s">
        <v>849</v>
      </c>
      <c r="G829">
        <v>10.023999999999999</v>
      </c>
      <c r="H829" t="str">
        <f t="shared" si="13"/>
        <v>ok</v>
      </c>
    </row>
    <row r="830" spans="1:8" x14ac:dyDescent="0.3">
      <c r="A830" s="2">
        <v>46039</v>
      </c>
      <c r="B830" t="s">
        <v>23</v>
      </c>
      <c r="C830" t="s">
        <v>8</v>
      </c>
      <c r="D830" t="s">
        <v>34</v>
      </c>
      <c r="E830" t="s">
        <v>28</v>
      </c>
      <c r="F830" t="s">
        <v>850</v>
      </c>
      <c r="G830">
        <v>9.9954999999999998</v>
      </c>
      <c r="H830" t="str">
        <f t="shared" si="13"/>
        <v>ok</v>
      </c>
    </row>
    <row r="831" spans="1:8" x14ac:dyDescent="0.3">
      <c r="A831" s="2">
        <v>46039</v>
      </c>
      <c r="B831" t="s">
        <v>7</v>
      </c>
      <c r="C831" t="s">
        <v>8</v>
      </c>
      <c r="D831" t="s">
        <v>17</v>
      </c>
      <c r="E831" t="s">
        <v>14</v>
      </c>
      <c r="F831" t="s">
        <v>851</v>
      </c>
      <c r="G831">
        <v>9.9896999999999991</v>
      </c>
      <c r="H831" t="str">
        <f t="shared" si="13"/>
        <v>ok</v>
      </c>
    </row>
    <row r="832" spans="1:8" x14ac:dyDescent="0.3">
      <c r="A832" s="2">
        <v>46039</v>
      </c>
      <c r="B832" t="s">
        <v>23</v>
      </c>
      <c r="C832" t="s">
        <v>19</v>
      </c>
      <c r="D832" t="s">
        <v>13</v>
      </c>
      <c r="E832" t="s">
        <v>28</v>
      </c>
      <c r="F832" t="s">
        <v>852</v>
      </c>
      <c r="G832">
        <v>10.0139</v>
      </c>
      <c r="H832" t="str">
        <f t="shared" si="13"/>
        <v>ok</v>
      </c>
    </row>
    <row r="833" spans="1:8" x14ac:dyDescent="0.3">
      <c r="A833" s="2">
        <v>46039</v>
      </c>
      <c r="B833" t="s">
        <v>12</v>
      </c>
      <c r="C833" t="s">
        <v>16</v>
      </c>
      <c r="D833" t="s">
        <v>34</v>
      </c>
      <c r="E833" t="s">
        <v>10</v>
      </c>
      <c r="F833" t="s">
        <v>853</v>
      </c>
      <c r="G833">
        <v>10.064</v>
      </c>
      <c r="H833" t="str">
        <f t="shared" si="13"/>
        <v>ok</v>
      </c>
    </row>
    <row r="834" spans="1:8" x14ac:dyDescent="0.3">
      <c r="A834" s="2">
        <v>46039</v>
      </c>
      <c r="B834" t="s">
        <v>12</v>
      </c>
      <c r="C834" t="s">
        <v>16</v>
      </c>
      <c r="D834" t="s">
        <v>17</v>
      </c>
      <c r="E834" t="s">
        <v>28</v>
      </c>
      <c r="F834" t="s">
        <v>854</v>
      </c>
      <c r="G834">
        <v>9.9976000000000003</v>
      </c>
      <c r="H834" t="str">
        <f t="shared" si="13"/>
        <v>ok</v>
      </c>
    </row>
    <row r="835" spans="1:8" x14ac:dyDescent="0.3">
      <c r="A835" s="2">
        <v>46039</v>
      </c>
      <c r="B835" t="s">
        <v>7</v>
      </c>
      <c r="C835" t="s">
        <v>19</v>
      </c>
      <c r="D835" t="s">
        <v>13</v>
      </c>
      <c r="E835" t="s">
        <v>14</v>
      </c>
      <c r="F835" t="s">
        <v>855</v>
      </c>
      <c r="G835">
        <v>10.013400000000001</v>
      </c>
      <c r="H835" t="str">
        <f t="shared" si="13"/>
        <v>ok</v>
      </c>
    </row>
    <row r="836" spans="1:8" x14ac:dyDescent="0.3">
      <c r="A836" s="2">
        <v>46039</v>
      </c>
      <c r="B836" t="s">
        <v>12</v>
      </c>
      <c r="C836" t="s">
        <v>19</v>
      </c>
      <c r="D836" t="s">
        <v>9</v>
      </c>
      <c r="E836" t="s">
        <v>10</v>
      </c>
      <c r="F836" t="s">
        <v>856</v>
      </c>
      <c r="G836">
        <v>10.0037</v>
      </c>
      <c r="H836" t="str">
        <f t="shared" si="13"/>
        <v>ok</v>
      </c>
    </row>
    <row r="837" spans="1:8" x14ac:dyDescent="0.3">
      <c r="A837" s="2">
        <v>46039</v>
      </c>
      <c r="B837" t="s">
        <v>23</v>
      </c>
      <c r="C837" t="s">
        <v>8</v>
      </c>
      <c r="D837" t="s">
        <v>34</v>
      </c>
      <c r="E837" t="s">
        <v>14</v>
      </c>
      <c r="F837" t="s">
        <v>857</v>
      </c>
      <c r="G837">
        <v>9.9982000000000006</v>
      </c>
      <c r="H837" t="str">
        <f t="shared" si="13"/>
        <v>ok</v>
      </c>
    </row>
    <row r="838" spans="1:8" x14ac:dyDescent="0.3">
      <c r="A838" s="2">
        <v>46039</v>
      </c>
      <c r="B838" t="s">
        <v>7</v>
      </c>
      <c r="C838" t="s">
        <v>19</v>
      </c>
      <c r="D838" t="s">
        <v>34</v>
      </c>
      <c r="E838" t="s">
        <v>36</v>
      </c>
      <c r="F838" t="s">
        <v>858</v>
      </c>
      <c r="G838">
        <v>10.007099999999999</v>
      </c>
      <c r="H838" t="str">
        <f t="shared" ref="H838:H901" si="14">IF(OR(G838&gt;10.5,G838&lt;9.95),"Defect","ok")</f>
        <v>ok</v>
      </c>
    </row>
    <row r="839" spans="1:8" x14ac:dyDescent="0.3">
      <c r="A839" s="2">
        <v>46039</v>
      </c>
      <c r="B839" t="s">
        <v>12</v>
      </c>
      <c r="C839" t="s">
        <v>19</v>
      </c>
      <c r="D839" t="s">
        <v>13</v>
      </c>
      <c r="E839" t="s">
        <v>21</v>
      </c>
      <c r="F839" t="s">
        <v>859</v>
      </c>
      <c r="G839">
        <v>10.0303</v>
      </c>
      <c r="H839" t="str">
        <f t="shared" si="14"/>
        <v>ok</v>
      </c>
    </row>
    <row r="840" spans="1:8" x14ac:dyDescent="0.3">
      <c r="A840" s="2">
        <v>46039</v>
      </c>
      <c r="B840" t="s">
        <v>7</v>
      </c>
      <c r="C840" t="s">
        <v>8</v>
      </c>
      <c r="D840" t="s">
        <v>13</v>
      </c>
      <c r="E840" t="s">
        <v>28</v>
      </c>
      <c r="F840" t="s">
        <v>860</v>
      </c>
      <c r="G840">
        <v>10.0122</v>
      </c>
      <c r="H840" t="str">
        <f t="shared" si="14"/>
        <v>ok</v>
      </c>
    </row>
    <row r="841" spans="1:8" x14ac:dyDescent="0.3">
      <c r="A841" s="2">
        <v>46039</v>
      </c>
      <c r="B841" t="s">
        <v>23</v>
      </c>
      <c r="C841" t="s">
        <v>16</v>
      </c>
      <c r="D841" t="s">
        <v>17</v>
      </c>
      <c r="E841" t="s">
        <v>36</v>
      </c>
      <c r="F841" t="s">
        <v>861</v>
      </c>
      <c r="G841">
        <v>10.0021</v>
      </c>
      <c r="H841" t="str">
        <f t="shared" si="14"/>
        <v>ok</v>
      </c>
    </row>
    <row r="842" spans="1:8" x14ac:dyDescent="0.3">
      <c r="A842" s="2">
        <v>46039</v>
      </c>
      <c r="B842" t="s">
        <v>7</v>
      </c>
      <c r="C842" t="s">
        <v>19</v>
      </c>
      <c r="D842" t="s">
        <v>34</v>
      </c>
      <c r="E842" t="s">
        <v>14</v>
      </c>
      <c r="F842" t="s">
        <v>862</v>
      </c>
      <c r="G842">
        <v>10.0197</v>
      </c>
      <c r="H842" t="str">
        <f t="shared" si="14"/>
        <v>ok</v>
      </c>
    </row>
    <row r="843" spans="1:8" x14ac:dyDescent="0.3">
      <c r="A843" s="2">
        <v>46039</v>
      </c>
      <c r="B843" t="s">
        <v>23</v>
      </c>
      <c r="C843" t="s">
        <v>8</v>
      </c>
      <c r="D843" t="s">
        <v>34</v>
      </c>
      <c r="E843" t="s">
        <v>28</v>
      </c>
      <c r="F843" t="s">
        <v>863</v>
      </c>
      <c r="G843">
        <v>10.0238</v>
      </c>
      <c r="H843" t="str">
        <f t="shared" si="14"/>
        <v>ok</v>
      </c>
    </row>
    <row r="844" spans="1:8" x14ac:dyDescent="0.3">
      <c r="A844" s="2">
        <v>46039</v>
      </c>
      <c r="B844" t="s">
        <v>23</v>
      </c>
      <c r="C844" t="s">
        <v>19</v>
      </c>
      <c r="D844" t="s">
        <v>34</v>
      </c>
      <c r="E844" t="s">
        <v>10</v>
      </c>
      <c r="F844" t="s">
        <v>864</v>
      </c>
      <c r="G844">
        <v>10.0205</v>
      </c>
      <c r="H844" t="str">
        <f t="shared" si="14"/>
        <v>ok</v>
      </c>
    </row>
    <row r="845" spans="1:8" x14ac:dyDescent="0.3">
      <c r="A845" s="2">
        <v>46039</v>
      </c>
      <c r="B845" t="s">
        <v>7</v>
      </c>
      <c r="C845" t="s">
        <v>8</v>
      </c>
      <c r="D845" t="s">
        <v>13</v>
      </c>
      <c r="E845" t="s">
        <v>21</v>
      </c>
      <c r="F845" t="s">
        <v>865</v>
      </c>
      <c r="G845">
        <v>10.005599999999999</v>
      </c>
      <c r="H845" t="str">
        <f t="shared" si="14"/>
        <v>ok</v>
      </c>
    </row>
    <row r="846" spans="1:8" x14ac:dyDescent="0.3">
      <c r="A846" s="2">
        <v>46039</v>
      </c>
      <c r="B846" t="s">
        <v>23</v>
      </c>
      <c r="C846" t="s">
        <v>16</v>
      </c>
      <c r="D846" t="s">
        <v>34</v>
      </c>
      <c r="E846" t="s">
        <v>21</v>
      </c>
      <c r="F846" t="s">
        <v>866</v>
      </c>
      <c r="G846">
        <v>9.9613999999999994</v>
      </c>
      <c r="H846" t="str">
        <f t="shared" si="14"/>
        <v>ok</v>
      </c>
    </row>
    <row r="847" spans="1:8" x14ac:dyDescent="0.3">
      <c r="A847" s="2">
        <v>46039</v>
      </c>
      <c r="B847" t="s">
        <v>23</v>
      </c>
      <c r="C847" t="s">
        <v>19</v>
      </c>
      <c r="D847" t="s">
        <v>9</v>
      </c>
      <c r="E847" t="s">
        <v>10</v>
      </c>
      <c r="F847" t="s">
        <v>867</v>
      </c>
      <c r="G847">
        <v>10.0162</v>
      </c>
      <c r="H847" t="str">
        <f t="shared" si="14"/>
        <v>ok</v>
      </c>
    </row>
    <row r="848" spans="1:8" x14ac:dyDescent="0.3">
      <c r="A848" s="2">
        <v>46039</v>
      </c>
      <c r="B848" t="s">
        <v>7</v>
      </c>
      <c r="C848" t="s">
        <v>19</v>
      </c>
      <c r="D848" t="s">
        <v>34</v>
      </c>
      <c r="E848" t="s">
        <v>36</v>
      </c>
      <c r="F848" t="s">
        <v>868</v>
      </c>
      <c r="G848">
        <v>9.9786999999999999</v>
      </c>
      <c r="H848" t="str">
        <f t="shared" si="14"/>
        <v>ok</v>
      </c>
    </row>
    <row r="849" spans="1:8" x14ac:dyDescent="0.3">
      <c r="A849" s="2">
        <v>46039</v>
      </c>
      <c r="B849" t="s">
        <v>23</v>
      </c>
      <c r="C849" t="s">
        <v>19</v>
      </c>
      <c r="D849" t="s">
        <v>13</v>
      </c>
      <c r="E849" t="s">
        <v>36</v>
      </c>
      <c r="F849" t="s">
        <v>869</v>
      </c>
      <c r="G849">
        <v>9.9726999999999997</v>
      </c>
      <c r="H849" t="str">
        <f t="shared" si="14"/>
        <v>ok</v>
      </c>
    </row>
    <row r="850" spans="1:8" x14ac:dyDescent="0.3">
      <c r="A850" s="2">
        <v>46039</v>
      </c>
      <c r="B850" t="s">
        <v>7</v>
      </c>
      <c r="C850" t="s">
        <v>19</v>
      </c>
      <c r="D850" t="s">
        <v>13</v>
      </c>
      <c r="E850" t="s">
        <v>21</v>
      </c>
      <c r="F850" t="s">
        <v>870</v>
      </c>
      <c r="G850">
        <v>10.0669</v>
      </c>
      <c r="H850" t="str">
        <f t="shared" si="14"/>
        <v>ok</v>
      </c>
    </row>
    <row r="851" spans="1:8" x14ac:dyDescent="0.3">
      <c r="A851" s="2">
        <v>46039</v>
      </c>
      <c r="B851" t="s">
        <v>7</v>
      </c>
      <c r="C851" t="s">
        <v>16</v>
      </c>
      <c r="D851" t="s">
        <v>9</v>
      </c>
      <c r="E851" t="s">
        <v>28</v>
      </c>
      <c r="F851" t="s">
        <v>871</v>
      </c>
      <c r="G851">
        <v>10.0169</v>
      </c>
      <c r="H851" t="str">
        <f t="shared" si="14"/>
        <v>ok</v>
      </c>
    </row>
    <row r="852" spans="1:8" x14ac:dyDescent="0.3">
      <c r="A852" s="2">
        <v>46040</v>
      </c>
      <c r="B852" t="s">
        <v>23</v>
      </c>
      <c r="C852" t="s">
        <v>16</v>
      </c>
      <c r="D852" t="s">
        <v>9</v>
      </c>
      <c r="E852" t="s">
        <v>36</v>
      </c>
      <c r="F852" t="s">
        <v>872</v>
      </c>
      <c r="G852">
        <v>10.009600000000001</v>
      </c>
      <c r="H852" t="str">
        <f t="shared" si="14"/>
        <v>ok</v>
      </c>
    </row>
    <row r="853" spans="1:8" x14ac:dyDescent="0.3">
      <c r="A853" s="2">
        <v>46040</v>
      </c>
      <c r="B853" t="s">
        <v>7</v>
      </c>
      <c r="C853" t="s">
        <v>16</v>
      </c>
      <c r="D853" t="s">
        <v>17</v>
      </c>
      <c r="E853" t="s">
        <v>14</v>
      </c>
      <c r="F853" t="s">
        <v>873</v>
      </c>
      <c r="G853">
        <v>9.9736999999999991</v>
      </c>
      <c r="H853" t="str">
        <f t="shared" si="14"/>
        <v>ok</v>
      </c>
    </row>
    <row r="854" spans="1:8" x14ac:dyDescent="0.3">
      <c r="A854" s="2">
        <v>46040</v>
      </c>
      <c r="B854" t="s">
        <v>23</v>
      </c>
      <c r="C854" t="s">
        <v>8</v>
      </c>
      <c r="D854" t="s">
        <v>9</v>
      </c>
      <c r="E854" t="s">
        <v>10</v>
      </c>
      <c r="F854" t="s">
        <v>874</v>
      </c>
      <c r="G854">
        <v>10.013</v>
      </c>
      <c r="H854" t="str">
        <f t="shared" si="14"/>
        <v>ok</v>
      </c>
    </row>
    <row r="855" spans="1:8" x14ac:dyDescent="0.3">
      <c r="A855" s="2">
        <v>46040</v>
      </c>
      <c r="B855" t="s">
        <v>12</v>
      </c>
      <c r="C855" t="s">
        <v>8</v>
      </c>
      <c r="D855" t="s">
        <v>34</v>
      </c>
      <c r="E855" t="s">
        <v>14</v>
      </c>
      <c r="F855" t="s">
        <v>875</v>
      </c>
      <c r="G855">
        <v>10.0113</v>
      </c>
      <c r="H855" t="str">
        <f t="shared" si="14"/>
        <v>ok</v>
      </c>
    </row>
    <row r="856" spans="1:8" x14ac:dyDescent="0.3">
      <c r="A856" s="2">
        <v>46040</v>
      </c>
      <c r="B856" t="s">
        <v>23</v>
      </c>
      <c r="C856" t="s">
        <v>8</v>
      </c>
      <c r="D856" t="s">
        <v>17</v>
      </c>
      <c r="E856" t="s">
        <v>28</v>
      </c>
      <c r="F856" t="s">
        <v>876</v>
      </c>
      <c r="G856">
        <v>9.9540000000000006</v>
      </c>
      <c r="H856" t="str">
        <f t="shared" si="14"/>
        <v>ok</v>
      </c>
    </row>
    <row r="857" spans="1:8" x14ac:dyDescent="0.3">
      <c r="A857" s="2">
        <v>46040</v>
      </c>
      <c r="B857" t="s">
        <v>23</v>
      </c>
      <c r="C857" t="s">
        <v>19</v>
      </c>
      <c r="D857" t="s">
        <v>9</v>
      </c>
      <c r="E857" t="s">
        <v>36</v>
      </c>
      <c r="F857" t="s">
        <v>877</v>
      </c>
      <c r="G857">
        <v>9.9886999999999997</v>
      </c>
      <c r="H857" t="str">
        <f t="shared" si="14"/>
        <v>ok</v>
      </c>
    </row>
    <row r="858" spans="1:8" x14ac:dyDescent="0.3">
      <c r="A858" s="2">
        <v>46040</v>
      </c>
      <c r="B858" t="s">
        <v>12</v>
      </c>
      <c r="C858" t="s">
        <v>16</v>
      </c>
      <c r="D858" t="s">
        <v>9</v>
      </c>
      <c r="E858" t="s">
        <v>28</v>
      </c>
      <c r="F858" t="s">
        <v>878</v>
      </c>
      <c r="G858">
        <v>10.0847</v>
      </c>
      <c r="H858" t="str">
        <f t="shared" si="14"/>
        <v>ok</v>
      </c>
    </row>
    <row r="859" spans="1:8" x14ac:dyDescent="0.3">
      <c r="A859" s="2">
        <v>46040</v>
      </c>
      <c r="B859" t="s">
        <v>23</v>
      </c>
      <c r="C859" t="s">
        <v>16</v>
      </c>
      <c r="D859" t="s">
        <v>17</v>
      </c>
      <c r="E859" t="s">
        <v>10</v>
      </c>
      <c r="F859" t="s">
        <v>879</v>
      </c>
      <c r="G859">
        <v>10.0108</v>
      </c>
      <c r="H859" t="str">
        <f t="shared" si="14"/>
        <v>ok</v>
      </c>
    </row>
    <row r="860" spans="1:8" x14ac:dyDescent="0.3">
      <c r="A860" s="2">
        <v>46040</v>
      </c>
      <c r="B860" t="s">
        <v>12</v>
      </c>
      <c r="C860" t="s">
        <v>19</v>
      </c>
      <c r="D860" t="s">
        <v>13</v>
      </c>
      <c r="E860" t="s">
        <v>14</v>
      </c>
      <c r="F860" t="s">
        <v>880</v>
      </c>
      <c r="G860">
        <v>10.046099999999999</v>
      </c>
      <c r="H860" t="str">
        <f t="shared" si="14"/>
        <v>ok</v>
      </c>
    </row>
    <row r="861" spans="1:8" x14ac:dyDescent="0.3">
      <c r="A861" s="2">
        <v>46040</v>
      </c>
      <c r="B861" t="s">
        <v>12</v>
      </c>
      <c r="C861" t="s">
        <v>8</v>
      </c>
      <c r="D861" t="s">
        <v>13</v>
      </c>
      <c r="E861" t="s">
        <v>14</v>
      </c>
      <c r="F861" t="s">
        <v>881</v>
      </c>
      <c r="G861">
        <v>10.0192</v>
      </c>
      <c r="H861" t="str">
        <f t="shared" si="14"/>
        <v>ok</v>
      </c>
    </row>
    <row r="862" spans="1:8" x14ac:dyDescent="0.3">
      <c r="A862" s="2">
        <v>46040</v>
      </c>
      <c r="B862" t="s">
        <v>23</v>
      </c>
      <c r="C862" t="s">
        <v>16</v>
      </c>
      <c r="D862" t="s">
        <v>34</v>
      </c>
      <c r="E862" t="s">
        <v>28</v>
      </c>
      <c r="F862" t="s">
        <v>882</v>
      </c>
      <c r="G862">
        <v>9.9505999999999997</v>
      </c>
      <c r="H862" t="str">
        <f t="shared" si="14"/>
        <v>ok</v>
      </c>
    </row>
    <row r="863" spans="1:8" x14ac:dyDescent="0.3">
      <c r="A863" s="2">
        <v>46040</v>
      </c>
      <c r="B863" t="s">
        <v>12</v>
      </c>
      <c r="C863" t="s">
        <v>19</v>
      </c>
      <c r="D863" t="s">
        <v>17</v>
      </c>
      <c r="E863" t="s">
        <v>21</v>
      </c>
      <c r="F863" t="s">
        <v>883</v>
      </c>
      <c r="G863">
        <v>10.0016</v>
      </c>
      <c r="H863" t="str">
        <f t="shared" si="14"/>
        <v>ok</v>
      </c>
    </row>
    <row r="864" spans="1:8" x14ac:dyDescent="0.3">
      <c r="A864" s="2">
        <v>46040</v>
      </c>
      <c r="B864" t="s">
        <v>7</v>
      </c>
      <c r="C864" t="s">
        <v>19</v>
      </c>
      <c r="D864" t="s">
        <v>9</v>
      </c>
      <c r="E864" t="s">
        <v>14</v>
      </c>
      <c r="F864" t="s">
        <v>884</v>
      </c>
      <c r="G864">
        <v>9.9952000000000005</v>
      </c>
      <c r="H864" t="str">
        <f t="shared" si="14"/>
        <v>ok</v>
      </c>
    </row>
    <row r="865" spans="1:8" x14ac:dyDescent="0.3">
      <c r="A865" s="2">
        <v>46040</v>
      </c>
      <c r="B865" t="s">
        <v>23</v>
      </c>
      <c r="C865" t="s">
        <v>8</v>
      </c>
      <c r="D865" t="s">
        <v>9</v>
      </c>
      <c r="E865" t="s">
        <v>10</v>
      </c>
      <c r="F865" t="s">
        <v>885</v>
      </c>
      <c r="G865">
        <v>9.9580000000000002</v>
      </c>
      <c r="H865" t="str">
        <f t="shared" si="14"/>
        <v>ok</v>
      </c>
    </row>
    <row r="866" spans="1:8" x14ac:dyDescent="0.3">
      <c r="A866" s="2">
        <v>46040</v>
      </c>
      <c r="B866" t="s">
        <v>7</v>
      </c>
      <c r="C866" t="s">
        <v>19</v>
      </c>
      <c r="D866" t="s">
        <v>34</v>
      </c>
      <c r="E866" t="s">
        <v>10</v>
      </c>
      <c r="F866" t="s">
        <v>886</v>
      </c>
      <c r="G866">
        <v>10.0246</v>
      </c>
      <c r="H866" t="str">
        <f t="shared" si="14"/>
        <v>ok</v>
      </c>
    </row>
    <row r="867" spans="1:8" x14ac:dyDescent="0.3">
      <c r="A867" s="2">
        <v>46040</v>
      </c>
      <c r="B867" t="s">
        <v>23</v>
      </c>
      <c r="C867" t="s">
        <v>8</v>
      </c>
      <c r="D867" t="s">
        <v>17</v>
      </c>
      <c r="E867" t="s">
        <v>10</v>
      </c>
      <c r="F867" t="s">
        <v>887</v>
      </c>
      <c r="G867">
        <v>10.0161</v>
      </c>
      <c r="H867" t="str">
        <f t="shared" si="14"/>
        <v>ok</v>
      </c>
    </row>
    <row r="868" spans="1:8" x14ac:dyDescent="0.3">
      <c r="A868" s="2">
        <v>46040</v>
      </c>
      <c r="B868" t="s">
        <v>23</v>
      </c>
      <c r="C868" t="s">
        <v>8</v>
      </c>
      <c r="D868" t="s">
        <v>34</v>
      </c>
      <c r="E868" t="s">
        <v>14</v>
      </c>
      <c r="F868" t="s">
        <v>888</v>
      </c>
      <c r="G868">
        <v>9.9671000000000003</v>
      </c>
      <c r="H868" t="str">
        <f t="shared" si="14"/>
        <v>ok</v>
      </c>
    </row>
    <row r="869" spans="1:8" x14ac:dyDescent="0.3">
      <c r="A869" s="2">
        <v>46040</v>
      </c>
      <c r="B869" t="s">
        <v>12</v>
      </c>
      <c r="C869" t="s">
        <v>8</v>
      </c>
      <c r="D869" t="s">
        <v>13</v>
      </c>
      <c r="E869" t="s">
        <v>28</v>
      </c>
      <c r="F869" t="s">
        <v>889</v>
      </c>
      <c r="G869">
        <v>9.9992999999999999</v>
      </c>
      <c r="H869" t="str">
        <f t="shared" si="14"/>
        <v>ok</v>
      </c>
    </row>
    <row r="870" spans="1:8" x14ac:dyDescent="0.3">
      <c r="A870" s="2">
        <v>46040</v>
      </c>
      <c r="B870" t="s">
        <v>23</v>
      </c>
      <c r="C870" t="s">
        <v>16</v>
      </c>
      <c r="D870" t="s">
        <v>17</v>
      </c>
      <c r="E870" t="s">
        <v>36</v>
      </c>
      <c r="F870" t="s">
        <v>890</v>
      </c>
      <c r="G870">
        <v>10.0002</v>
      </c>
      <c r="H870" t="str">
        <f t="shared" si="14"/>
        <v>ok</v>
      </c>
    </row>
    <row r="871" spans="1:8" x14ac:dyDescent="0.3">
      <c r="A871" s="2">
        <v>46040</v>
      </c>
      <c r="B871" t="s">
        <v>7</v>
      </c>
      <c r="C871" t="s">
        <v>8</v>
      </c>
      <c r="D871" t="s">
        <v>13</v>
      </c>
      <c r="E871" t="s">
        <v>28</v>
      </c>
      <c r="F871" t="s">
        <v>891</v>
      </c>
      <c r="G871">
        <v>10.003</v>
      </c>
      <c r="H871" t="str">
        <f t="shared" si="14"/>
        <v>ok</v>
      </c>
    </row>
    <row r="872" spans="1:8" x14ac:dyDescent="0.3">
      <c r="A872" s="2">
        <v>46040</v>
      </c>
      <c r="B872" t="s">
        <v>12</v>
      </c>
      <c r="C872" t="s">
        <v>8</v>
      </c>
      <c r="D872" t="s">
        <v>9</v>
      </c>
      <c r="E872" t="s">
        <v>28</v>
      </c>
      <c r="F872" t="s">
        <v>892</v>
      </c>
      <c r="G872">
        <v>10.0037</v>
      </c>
      <c r="H872" t="str">
        <f t="shared" si="14"/>
        <v>ok</v>
      </c>
    </row>
    <row r="873" spans="1:8" x14ac:dyDescent="0.3">
      <c r="A873" s="2">
        <v>46040</v>
      </c>
      <c r="B873" t="s">
        <v>7</v>
      </c>
      <c r="C873" t="s">
        <v>16</v>
      </c>
      <c r="D873" t="s">
        <v>34</v>
      </c>
      <c r="E873" t="s">
        <v>21</v>
      </c>
      <c r="F873" t="s">
        <v>893</v>
      </c>
      <c r="G873">
        <v>9.9924999999999997</v>
      </c>
      <c r="H873" t="str">
        <f t="shared" si="14"/>
        <v>ok</v>
      </c>
    </row>
    <row r="874" spans="1:8" x14ac:dyDescent="0.3">
      <c r="A874" s="2">
        <v>46040</v>
      </c>
      <c r="B874" t="s">
        <v>7</v>
      </c>
      <c r="C874" t="s">
        <v>16</v>
      </c>
      <c r="D874" t="s">
        <v>17</v>
      </c>
      <c r="E874" t="s">
        <v>14</v>
      </c>
      <c r="F874" t="s">
        <v>894</v>
      </c>
      <c r="G874">
        <v>10.0022</v>
      </c>
      <c r="H874" t="str">
        <f t="shared" si="14"/>
        <v>ok</v>
      </c>
    </row>
    <row r="875" spans="1:8" x14ac:dyDescent="0.3">
      <c r="A875" s="2">
        <v>46040</v>
      </c>
      <c r="B875" t="s">
        <v>23</v>
      </c>
      <c r="C875" t="s">
        <v>19</v>
      </c>
      <c r="D875" t="s">
        <v>9</v>
      </c>
      <c r="E875" t="s">
        <v>10</v>
      </c>
      <c r="F875" t="s">
        <v>895</v>
      </c>
      <c r="G875">
        <v>9.9905000000000008</v>
      </c>
      <c r="H875" t="str">
        <f t="shared" si="14"/>
        <v>ok</v>
      </c>
    </row>
    <row r="876" spans="1:8" x14ac:dyDescent="0.3">
      <c r="A876" s="2">
        <v>46040</v>
      </c>
      <c r="B876" t="s">
        <v>23</v>
      </c>
      <c r="C876" t="s">
        <v>19</v>
      </c>
      <c r="D876" t="s">
        <v>13</v>
      </c>
      <c r="E876" t="s">
        <v>14</v>
      </c>
      <c r="F876" t="s">
        <v>896</v>
      </c>
      <c r="G876">
        <v>9.9651999999999994</v>
      </c>
      <c r="H876" t="str">
        <f t="shared" si="14"/>
        <v>ok</v>
      </c>
    </row>
    <row r="877" spans="1:8" x14ac:dyDescent="0.3">
      <c r="A877" s="2">
        <v>46040</v>
      </c>
      <c r="B877" t="s">
        <v>12</v>
      </c>
      <c r="C877" t="s">
        <v>16</v>
      </c>
      <c r="D877" t="s">
        <v>17</v>
      </c>
      <c r="E877" t="s">
        <v>10</v>
      </c>
      <c r="F877" t="s">
        <v>897</v>
      </c>
      <c r="G877">
        <v>9.9525000000000006</v>
      </c>
      <c r="H877" t="str">
        <f t="shared" si="14"/>
        <v>ok</v>
      </c>
    </row>
    <row r="878" spans="1:8" x14ac:dyDescent="0.3">
      <c r="A878" s="2">
        <v>46040</v>
      </c>
      <c r="B878" t="s">
        <v>12</v>
      </c>
      <c r="C878" t="s">
        <v>16</v>
      </c>
      <c r="D878" t="s">
        <v>17</v>
      </c>
      <c r="E878" t="s">
        <v>21</v>
      </c>
      <c r="F878" t="s">
        <v>898</v>
      </c>
      <c r="G878">
        <v>10.0334</v>
      </c>
      <c r="H878" t="str">
        <f t="shared" si="14"/>
        <v>ok</v>
      </c>
    </row>
    <row r="879" spans="1:8" x14ac:dyDescent="0.3">
      <c r="A879" s="2">
        <v>46040</v>
      </c>
      <c r="B879" t="s">
        <v>23</v>
      </c>
      <c r="C879" t="s">
        <v>19</v>
      </c>
      <c r="D879" t="s">
        <v>17</v>
      </c>
      <c r="E879" t="s">
        <v>10</v>
      </c>
      <c r="F879" t="s">
        <v>899</v>
      </c>
      <c r="G879">
        <v>9.9932999999999996</v>
      </c>
      <c r="H879" t="str">
        <f t="shared" si="14"/>
        <v>ok</v>
      </c>
    </row>
    <row r="880" spans="1:8" x14ac:dyDescent="0.3">
      <c r="A880" s="2">
        <v>46040</v>
      </c>
      <c r="B880" t="s">
        <v>12</v>
      </c>
      <c r="C880" t="s">
        <v>8</v>
      </c>
      <c r="D880" t="s">
        <v>17</v>
      </c>
      <c r="E880" t="s">
        <v>14</v>
      </c>
      <c r="F880" t="s">
        <v>900</v>
      </c>
      <c r="G880">
        <v>9.9847999999999999</v>
      </c>
      <c r="H880" t="str">
        <f t="shared" si="14"/>
        <v>ok</v>
      </c>
    </row>
    <row r="881" spans="1:8" x14ac:dyDescent="0.3">
      <c r="A881" s="2">
        <v>46040</v>
      </c>
      <c r="B881" t="s">
        <v>7</v>
      </c>
      <c r="C881" t="s">
        <v>19</v>
      </c>
      <c r="D881" t="s">
        <v>17</v>
      </c>
      <c r="E881" t="s">
        <v>28</v>
      </c>
      <c r="F881" t="s">
        <v>901</v>
      </c>
      <c r="G881">
        <v>9.9697999999999993</v>
      </c>
      <c r="H881" t="str">
        <f t="shared" si="14"/>
        <v>ok</v>
      </c>
    </row>
    <row r="882" spans="1:8" x14ac:dyDescent="0.3">
      <c r="A882" s="2">
        <v>46040</v>
      </c>
      <c r="B882" t="s">
        <v>12</v>
      </c>
      <c r="C882" t="s">
        <v>8</v>
      </c>
      <c r="D882" t="s">
        <v>34</v>
      </c>
      <c r="E882" t="s">
        <v>14</v>
      </c>
      <c r="F882" t="s">
        <v>902</v>
      </c>
      <c r="G882">
        <v>10.0053</v>
      </c>
      <c r="H882" t="str">
        <f t="shared" si="14"/>
        <v>ok</v>
      </c>
    </row>
    <row r="883" spans="1:8" x14ac:dyDescent="0.3">
      <c r="A883" s="2">
        <v>46040</v>
      </c>
      <c r="B883" t="s">
        <v>12</v>
      </c>
      <c r="C883" t="s">
        <v>8</v>
      </c>
      <c r="D883" t="s">
        <v>9</v>
      </c>
      <c r="E883" t="s">
        <v>10</v>
      </c>
      <c r="F883" t="s">
        <v>903</v>
      </c>
      <c r="G883">
        <v>10.0379</v>
      </c>
      <c r="H883" t="str">
        <f t="shared" si="14"/>
        <v>ok</v>
      </c>
    </row>
    <row r="884" spans="1:8" x14ac:dyDescent="0.3">
      <c r="A884" s="2">
        <v>46040</v>
      </c>
      <c r="B884" t="s">
        <v>23</v>
      </c>
      <c r="C884" t="s">
        <v>19</v>
      </c>
      <c r="D884" t="s">
        <v>13</v>
      </c>
      <c r="E884" t="s">
        <v>14</v>
      </c>
      <c r="F884" t="s">
        <v>904</v>
      </c>
      <c r="G884">
        <v>9.9823000000000004</v>
      </c>
      <c r="H884" t="str">
        <f t="shared" si="14"/>
        <v>ok</v>
      </c>
    </row>
    <row r="885" spans="1:8" x14ac:dyDescent="0.3">
      <c r="A885" s="2">
        <v>46040</v>
      </c>
      <c r="B885" t="s">
        <v>12</v>
      </c>
      <c r="C885" t="s">
        <v>19</v>
      </c>
      <c r="D885" t="s">
        <v>9</v>
      </c>
      <c r="E885" t="s">
        <v>10</v>
      </c>
      <c r="F885" t="s">
        <v>905</v>
      </c>
      <c r="G885">
        <v>9.9981000000000009</v>
      </c>
      <c r="H885" t="str">
        <f t="shared" si="14"/>
        <v>ok</v>
      </c>
    </row>
    <row r="886" spans="1:8" x14ac:dyDescent="0.3">
      <c r="A886" s="2">
        <v>46040</v>
      </c>
      <c r="B886" t="s">
        <v>7</v>
      </c>
      <c r="C886" t="s">
        <v>8</v>
      </c>
      <c r="D886" t="s">
        <v>13</v>
      </c>
      <c r="E886" t="s">
        <v>28</v>
      </c>
      <c r="F886" t="s">
        <v>906</v>
      </c>
      <c r="G886">
        <v>10.0192</v>
      </c>
      <c r="H886" t="str">
        <f t="shared" si="14"/>
        <v>ok</v>
      </c>
    </row>
    <row r="887" spans="1:8" x14ac:dyDescent="0.3">
      <c r="A887" s="2">
        <v>46040</v>
      </c>
      <c r="B887" t="s">
        <v>12</v>
      </c>
      <c r="C887" t="s">
        <v>16</v>
      </c>
      <c r="D887" t="s">
        <v>17</v>
      </c>
      <c r="E887" t="s">
        <v>28</v>
      </c>
      <c r="F887" t="s">
        <v>907</v>
      </c>
      <c r="G887">
        <v>9.9829000000000008</v>
      </c>
      <c r="H887" t="str">
        <f t="shared" si="14"/>
        <v>ok</v>
      </c>
    </row>
    <row r="888" spans="1:8" x14ac:dyDescent="0.3">
      <c r="A888" s="2">
        <v>46040</v>
      </c>
      <c r="B888" t="s">
        <v>12</v>
      </c>
      <c r="C888" t="s">
        <v>8</v>
      </c>
      <c r="D888" t="s">
        <v>17</v>
      </c>
      <c r="E888" t="s">
        <v>36</v>
      </c>
      <c r="F888" t="s">
        <v>908</v>
      </c>
      <c r="G888">
        <v>10.077</v>
      </c>
      <c r="H888" t="str">
        <f t="shared" si="14"/>
        <v>ok</v>
      </c>
    </row>
    <row r="889" spans="1:8" x14ac:dyDescent="0.3">
      <c r="A889" s="2">
        <v>46040</v>
      </c>
      <c r="B889" t="s">
        <v>7</v>
      </c>
      <c r="C889" t="s">
        <v>8</v>
      </c>
      <c r="D889" t="s">
        <v>34</v>
      </c>
      <c r="E889" t="s">
        <v>10</v>
      </c>
      <c r="F889" t="s">
        <v>909</v>
      </c>
      <c r="G889">
        <v>9.9816000000000003</v>
      </c>
      <c r="H889" t="str">
        <f t="shared" si="14"/>
        <v>ok</v>
      </c>
    </row>
    <row r="890" spans="1:8" x14ac:dyDescent="0.3">
      <c r="A890" s="2">
        <v>46040</v>
      </c>
      <c r="B890" t="s">
        <v>12</v>
      </c>
      <c r="C890" t="s">
        <v>16</v>
      </c>
      <c r="D890" t="s">
        <v>13</v>
      </c>
      <c r="E890" t="s">
        <v>28</v>
      </c>
      <c r="F890" t="s">
        <v>910</v>
      </c>
      <c r="G890">
        <v>10.030099999999999</v>
      </c>
      <c r="H890" t="str">
        <f t="shared" si="14"/>
        <v>ok</v>
      </c>
    </row>
    <row r="891" spans="1:8" x14ac:dyDescent="0.3">
      <c r="A891" s="2">
        <v>46040</v>
      </c>
      <c r="B891" t="s">
        <v>12</v>
      </c>
      <c r="C891" t="s">
        <v>19</v>
      </c>
      <c r="D891" t="s">
        <v>9</v>
      </c>
      <c r="E891" t="s">
        <v>36</v>
      </c>
      <c r="F891" t="s">
        <v>911</v>
      </c>
      <c r="G891">
        <v>10.037000000000001</v>
      </c>
      <c r="H891" t="str">
        <f t="shared" si="14"/>
        <v>ok</v>
      </c>
    </row>
    <row r="892" spans="1:8" x14ac:dyDescent="0.3">
      <c r="A892" s="2">
        <v>46040</v>
      </c>
      <c r="B892" t="s">
        <v>12</v>
      </c>
      <c r="C892" t="s">
        <v>8</v>
      </c>
      <c r="D892" t="s">
        <v>34</v>
      </c>
      <c r="E892" t="s">
        <v>14</v>
      </c>
      <c r="F892" t="s">
        <v>912</v>
      </c>
      <c r="G892">
        <v>10.0063</v>
      </c>
      <c r="H892" t="str">
        <f t="shared" si="14"/>
        <v>ok</v>
      </c>
    </row>
    <row r="893" spans="1:8" x14ac:dyDescent="0.3">
      <c r="A893" s="2">
        <v>46040</v>
      </c>
      <c r="B893" t="s">
        <v>12</v>
      </c>
      <c r="C893" t="s">
        <v>19</v>
      </c>
      <c r="D893" t="s">
        <v>34</v>
      </c>
      <c r="E893" t="s">
        <v>14</v>
      </c>
      <c r="F893" t="s">
        <v>913</v>
      </c>
      <c r="G893">
        <v>10.029999999999999</v>
      </c>
      <c r="H893" t="str">
        <f t="shared" si="14"/>
        <v>ok</v>
      </c>
    </row>
    <row r="894" spans="1:8" x14ac:dyDescent="0.3">
      <c r="A894" s="2">
        <v>46040</v>
      </c>
      <c r="B894" t="s">
        <v>7</v>
      </c>
      <c r="C894" t="s">
        <v>16</v>
      </c>
      <c r="D894" t="s">
        <v>9</v>
      </c>
      <c r="E894" t="s">
        <v>14</v>
      </c>
      <c r="F894" t="s">
        <v>914</v>
      </c>
      <c r="G894">
        <v>9.9754000000000005</v>
      </c>
      <c r="H894" t="str">
        <f t="shared" si="14"/>
        <v>ok</v>
      </c>
    </row>
    <row r="895" spans="1:8" x14ac:dyDescent="0.3">
      <c r="A895" s="2">
        <v>46040</v>
      </c>
      <c r="B895" t="s">
        <v>12</v>
      </c>
      <c r="C895" t="s">
        <v>8</v>
      </c>
      <c r="D895" t="s">
        <v>13</v>
      </c>
      <c r="E895" t="s">
        <v>28</v>
      </c>
      <c r="F895" t="s">
        <v>915</v>
      </c>
      <c r="G895">
        <v>9.9994999999999994</v>
      </c>
      <c r="H895" t="str">
        <f t="shared" si="14"/>
        <v>ok</v>
      </c>
    </row>
    <row r="896" spans="1:8" x14ac:dyDescent="0.3">
      <c r="A896" s="2">
        <v>46040</v>
      </c>
      <c r="B896" t="s">
        <v>23</v>
      </c>
      <c r="C896" t="s">
        <v>19</v>
      </c>
      <c r="D896" t="s">
        <v>9</v>
      </c>
      <c r="E896" t="s">
        <v>28</v>
      </c>
      <c r="F896" t="s">
        <v>916</v>
      </c>
      <c r="G896">
        <v>9.9923999999999999</v>
      </c>
      <c r="H896" t="str">
        <f t="shared" si="14"/>
        <v>ok</v>
      </c>
    </row>
    <row r="897" spans="1:8" x14ac:dyDescent="0.3">
      <c r="A897" s="2">
        <v>46040</v>
      </c>
      <c r="B897" t="s">
        <v>12</v>
      </c>
      <c r="C897" t="s">
        <v>19</v>
      </c>
      <c r="D897" t="s">
        <v>13</v>
      </c>
      <c r="E897" t="s">
        <v>10</v>
      </c>
      <c r="F897" t="s">
        <v>917</v>
      </c>
      <c r="G897">
        <v>10.0786</v>
      </c>
      <c r="H897" t="str">
        <f t="shared" si="14"/>
        <v>ok</v>
      </c>
    </row>
    <row r="898" spans="1:8" x14ac:dyDescent="0.3">
      <c r="A898" s="2">
        <v>46040</v>
      </c>
      <c r="B898" t="s">
        <v>7</v>
      </c>
      <c r="C898" t="s">
        <v>19</v>
      </c>
      <c r="D898" t="s">
        <v>9</v>
      </c>
      <c r="E898" t="s">
        <v>10</v>
      </c>
      <c r="F898" t="s">
        <v>918</v>
      </c>
      <c r="G898">
        <v>10.0495</v>
      </c>
      <c r="H898" t="str">
        <f t="shared" si="14"/>
        <v>ok</v>
      </c>
    </row>
    <row r="899" spans="1:8" x14ac:dyDescent="0.3">
      <c r="A899" s="2">
        <v>46040</v>
      </c>
      <c r="B899" t="s">
        <v>12</v>
      </c>
      <c r="C899" t="s">
        <v>8</v>
      </c>
      <c r="D899" t="s">
        <v>9</v>
      </c>
      <c r="E899" t="s">
        <v>21</v>
      </c>
      <c r="F899" t="s">
        <v>919</v>
      </c>
      <c r="G899">
        <v>10.0237</v>
      </c>
      <c r="H899" t="str">
        <f t="shared" si="14"/>
        <v>ok</v>
      </c>
    </row>
    <row r="900" spans="1:8" x14ac:dyDescent="0.3">
      <c r="A900" s="2">
        <v>46040</v>
      </c>
      <c r="B900" t="s">
        <v>7</v>
      </c>
      <c r="C900" t="s">
        <v>19</v>
      </c>
      <c r="D900" t="s">
        <v>34</v>
      </c>
      <c r="E900" t="s">
        <v>10</v>
      </c>
      <c r="F900" t="s">
        <v>920</v>
      </c>
      <c r="G900">
        <v>10.0085</v>
      </c>
      <c r="H900" t="str">
        <f t="shared" si="14"/>
        <v>ok</v>
      </c>
    </row>
    <row r="901" spans="1:8" x14ac:dyDescent="0.3">
      <c r="A901" s="2">
        <v>46040</v>
      </c>
      <c r="B901" t="s">
        <v>12</v>
      </c>
      <c r="C901" t="s">
        <v>8</v>
      </c>
      <c r="D901" t="s">
        <v>13</v>
      </c>
      <c r="E901" t="s">
        <v>10</v>
      </c>
      <c r="F901" t="s">
        <v>921</v>
      </c>
      <c r="G901">
        <v>9.9648000000000003</v>
      </c>
      <c r="H901" t="str">
        <f t="shared" si="14"/>
        <v>ok</v>
      </c>
    </row>
    <row r="902" spans="1:8" x14ac:dyDescent="0.3">
      <c r="A902" s="2">
        <v>46041</v>
      </c>
      <c r="B902" t="s">
        <v>12</v>
      </c>
      <c r="C902" t="s">
        <v>19</v>
      </c>
      <c r="D902" t="s">
        <v>34</v>
      </c>
      <c r="E902" t="s">
        <v>21</v>
      </c>
      <c r="F902" t="s">
        <v>922</v>
      </c>
      <c r="G902">
        <v>10.0101</v>
      </c>
      <c r="H902" t="str">
        <f t="shared" ref="H902:H965" si="15">IF(OR(G902&gt;10.5,G902&lt;9.95),"Defect","ok")</f>
        <v>ok</v>
      </c>
    </row>
    <row r="903" spans="1:8" x14ac:dyDescent="0.3">
      <c r="A903" s="2">
        <v>46041</v>
      </c>
      <c r="B903" t="s">
        <v>7</v>
      </c>
      <c r="C903" t="s">
        <v>19</v>
      </c>
      <c r="D903" t="s">
        <v>34</v>
      </c>
      <c r="E903" t="s">
        <v>28</v>
      </c>
      <c r="F903" t="s">
        <v>923</v>
      </c>
      <c r="G903">
        <v>9.9764999999999997</v>
      </c>
      <c r="H903" t="str">
        <f t="shared" si="15"/>
        <v>ok</v>
      </c>
    </row>
    <row r="904" spans="1:8" x14ac:dyDescent="0.3">
      <c r="A904" s="2">
        <v>46041</v>
      </c>
      <c r="B904" t="s">
        <v>23</v>
      </c>
      <c r="C904" t="s">
        <v>8</v>
      </c>
      <c r="D904" t="s">
        <v>34</v>
      </c>
      <c r="E904" t="s">
        <v>21</v>
      </c>
      <c r="F904" t="s">
        <v>924</v>
      </c>
      <c r="G904">
        <v>10.014699999999999</v>
      </c>
      <c r="H904" t="str">
        <f t="shared" si="15"/>
        <v>ok</v>
      </c>
    </row>
    <row r="905" spans="1:8" x14ac:dyDescent="0.3">
      <c r="A905" s="2">
        <v>46041</v>
      </c>
      <c r="B905" t="s">
        <v>7</v>
      </c>
      <c r="C905" t="s">
        <v>8</v>
      </c>
      <c r="D905" t="s">
        <v>17</v>
      </c>
      <c r="E905" t="s">
        <v>21</v>
      </c>
      <c r="F905" t="s">
        <v>925</v>
      </c>
      <c r="G905">
        <v>9.9650999999999996</v>
      </c>
      <c r="H905" t="str">
        <f t="shared" si="15"/>
        <v>ok</v>
      </c>
    </row>
    <row r="906" spans="1:8" x14ac:dyDescent="0.3">
      <c r="A906" s="2">
        <v>46041</v>
      </c>
      <c r="B906" t="s">
        <v>7</v>
      </c>
      <c r="C906" t="s">
        <v>16</v>
      </c>
      <c r="D906" t="s">
        <v>13</v>
      </c>
      <c r="E906" t="s">
        <v>10</v>
      </c>
      <c r="F906" t="s">
        <v>926</v>
      </c>
      <c r="G906">
        <v>9.9765999999999995</v>
      </c>
      <c r="H906" t="str">
        <f t="shared" si="15"/>
        <v>ok</v>
      </c>
    </row>
    <row r="907" spans="1:8" x14ac:dyDescent="0.3">
      <c r="A907" s="2">
        <v>46041</v>
      </c>
      <c r="B907" t="s">
        <v>12</v>
      </c>
      <c r="C907" t="s">
        <v>8</v>
      </c>
      <c r="D907" t="s">
        <v>9</v>
      </c>
      <c r="E907" t="s">
        <v>10</v>
      </c>
      <c r="F907" t="s">
        <v>927</v>
      </c>
      <c r="G907">
        <v>9.9946999999999999</v>
      </c>
      <c r="H907" t="str">
        <f t="shared" si="15"/>
        <v>ok</v>
      </c>
    </row>
    <row r="908" spans="1:8" x14ac:dyDescent="0.3">
      <c r="A908" s="2">
        <v>46041</v>
      </c>
      <c r="B908" t="s">
        <v>7</v>
      </c>
      <c r="C908" t="s">
        <v>19</v>
      </c>
      <c r="D908" t="s">
        <v>13</v>
      </c>
      <c r="E908" t="s">
        <v>21</v>
      </c>
      <c r="F908" t="s">
        <v>928</v>
      </c>
      <c r="G908">
        <v>10.018700000000001</v>
      </c>
      <c r="H908" t="str">
        <f t="shared" si="15"/>
        <v>ok</v>
      </c>
    </row>
    <row r="909" spans="1:8" x14ac:dyDescent="0.3">
      <c r="A909" s="2">
        <v>46041</v>
      </c>
      <c r="B909" t="s">
        <v>12</v>
      </c>
      <c r="C909" t="s">
        <v>19</v>
      </c>
      <c r="D909" t="s">
        <v>13</v>
      </c>
      <c r="E909" t="s">
        <v>28</v>
      </c>
      <c r="F909" t="s">
        <v>929</v>
      </c>
      <c r="G909">
        <v>10.021100000000001</v>
      </c>
      <c r="H909" t="str">
        <f t="shared" si="15"/>
        <v>ok</v>
      </c>
    </row>
    <row r="910" spans="1:8" x14ac:dyDescent="0.3">
      <c r="A910" s="2">
        <v>46041</v>
      </c>
      <c r="B910" t="s">
        <v>23</v>
      </c>
      <c r="C910" t="s">
        <v>19</v>
      </c>
      <c r="D910" t="s">
        <v>17</v>
      </c>
      <c r="E910" t="s">
        <v>28</v>
      </c>
      <c r="F910" t="s">
        <v>930</v>
      </c>
      <c r="G910">
        <v>10.037800000000001</v>
      </c>
      <c r="H910" t="str">
        <f t="shared" si="15"/>
        <v>ok</v>
      </c>
    </row>
    <row r="911" spans="1:8" x14ac:dyDescent="0.3">
      <c r="A911" s="2">
        <v>46041</v>
      </c>
      <c r="B911" t="s">
        <v>7</v>
      </c>
      <c r="C911" t="s">
        <v>16</v>
      </c>
      <c r="D911" t="s">
        <v>13</v>
      </c>
      <c r="E911" t="s">
        <v>21</v>
      </c>
      <c r="F911" t="s">
        <v>931</v>
      </c>
      <c r="G911">
        <v>10.005000000000001</v>
      </c>
      <c r="H911" t="str">
        <f t="shared" si="15"/>
        <v>ok</v>
      </c>
    </row>
    <row r="912" spans="1:8" x14ac:dyDescent="0.3">
      <c r="A912" s="2">
        <v>46041</v>
      </c>
      <c r="B912" t="s">
        <v>23</v>
      </c>
      <c r="C912" t="s">
        <v>19</v>
      </c>
      <c r="D912" t="s">
        <v>9</v>
      </c>
      <c r="E912" t="s">
        <v>21</v>
      </c>
      <c r="F912" t="s">
        <v>932</v>
      </c>
      <c r="G912">
        <v>10.013</v>
      </c>
      <c r="H912" t="str">
        <f t="shared" si="15"/>
        <v>ok</v>
      </c>
    </row>
    <row r="913" spans="1:8" x14ac:dyDescent="0.3">
      <c r="A913" s="2">
        <v>46041</v>
      </c>
      <c r="B913" t="s">
        <v>23</v>
      </c>
      <c r="C913" t="s">
        <v>16</v>
      </c>
      <c r="D913" t="s">
        <v>34</v>
      </c>
      <c r="E913" t="s">
        <v>10</v>
      </c>
      <c r="F913" t="s">
        <v>933</v>
      </c>
      <c r="G913">
        <v>9.9952000000000005</v>
      </c>
      <c r="H913" t="str">
        <f t="shared" si="15"/>
        <v>ok</v>
      </c>
    </row>
    <row r="914" spans="1:8" x14ac:dyDescent="0.3">
      <c r="A914" s="2">
        <v>46041</v>
      </c>
      <c r="B914" t="s">
        <v>7</v>
      </c>
      <c r="C914" t="s">
        <v>16</v>
      </c>
      <c r="D914" t="s">
        <v>13</v>
      </c>
      <c r="E914" t="s">
        <v>36</v>
      </c>
      <c r="F914" t="s">
        <v>934</v>
      </c>
      <c r="G914">
        <v>9.9847999999999999</v>
      </c>
      <c r="H914" t="str">
        <f t="shared" si="15"/>
        <v>ok</v>
      </c>
    </row>
    <row r="915" spans="1:8" x14ac:dyDescent="0.3">
      <c r="A915" s="2">
        <v>46041</v>
      </c>
      <c r="B915" t="s">
        <v>7</v>
      </c>
      <c r="C915" t="s">
        <v>16</v>
      </c>
      <c r="D915" t="s">
        <v>17</v>
      </c>
      <c r="E915" t="s">
        <v>10</v>
      </c>
      <c r="F915" t="s">
        <v>935</v>
      </c>
      <c r="G915">
        <v>9.9936000000000007</v>
      </c>
      <c r="H915" t="str">
        <f t="shared" si="15"/>
        <v>ok</v>
      </c>
    </row>
    <row r="916" spans="1:8" x14ac:dyDescent="0.3">
      <c r="A916" s="2">
        <v>46041</v>
      </c>
      <c r="B916" t="s">
        <v>23</v>
      </c>
      <c r="C916" t="s">
        <v>16</v>
      </c>
      <c r="D916" t="s">
        <v>13</v>
      </c>
      <c r="E916" t="s">
        <v>14</v>
      </c>
      <c r="F916" t="s">
        <v>936</v>
      </c>
      <c r="G916">
        <v>9.9736999999999991</v>
      </c>
      <c r="H916" t="str">
        <f t="shared" si="15"/>
        <v>ok</v>
      </c>
    </row>
    <row r="917" spans="1:8" x14ac:dyDescent="0.3">
      <c r="A917" s="2">
        <v>46041</v>
      </c>
      <c r="B917" t="s">
        <v>12</v>
      </c>
      <c r="C917" t="s">
        <v>8</v>
      </c>
      <c r="D917" t="s">
        <v>13</v>
      </c>
      <c r="E917" t="s">
        <v>10</v>
      </c>
      <c r="F917" t="s">
        <v>937</v>
      </c>
      <c r="G917">
        <v>10.1211</v>
      </c>
      <c r="H917" t="str">
        <f t="shared" si="15"/>
        <v>ok</v>
      </c>
    </row>
    <row r="918" spans="1:8" x14ac:dyDescent="0.3">
      <c r="A918" s="2">
        <v>46041</v>
      </c>
      <c r="B918" t="s">
        <v>12</v>
      </c>
      <c r="C918" t="s">
        <v>19</v>
      </c>
      <c r="D918" t="s">
        <v>9</v>
      </c>
      <c r="E918" t="s">
        <v>36</v>
      </c>
      <c r="F918" t="s">
        <v>938</v>
      </c>
      <c r="G918">
        <v>10.0068</v>
      </c>
      <c r="H918" t="str">
        <f t="shared" si="15"/>
        <v>ok</v>
      </c>
    </row>
    <row r="919" spans="1:8" x14ac:dyDescent="0.3">
      <c r="A919" s="2">
        <v>46041</v>
      </c>
      <c r="B919" t="s">
        <v>7</v>
      </c>
      <c r="C919" t="s">
        <v>19</v>
      </c>
      <c r="D919" t="s">
        <v>17</v>
      </c>
      <c r="E919" t="s">
        <v>10</v>
      </c>
      <c r="F919" t="s">
        <v>939</v>
      </c>
      <c r="G919">
        <v>10.0116</v>
      </c>
      <c r="H919" t="str">
        <f t="shared" si="15"/>
        <v>ok</v>
      </c>
    </row>
    <row r="920" spans="1:8" x14ac:dyDescent="0.3">
      <c r="A920" s="2">
        <v>46041</v>
      </c>
      <c r="B920" t="s">
        <v>23</v>
      </c>
      <c r="C920" t="s">
        <v>8</v>
      </c>
      <c r="D920" t="s">
        <v>9</v>
      </c>
      <c r="E920" t="s">
        <v>36</v>
      </c>
      <c r="F920" t="s">
        <v>940</v>
      </c>
      <c r="G920">
        <v>10.009499999999999</v>
      </c>
      <c r="H920" t="str">
        <f t="shared" si="15"/>
        <v>ok</v>
      </c>
    </row>
    <row r="921" spans="1:8" x14ac:dyDescent="0.3">
      <c r="A921" s="2">
        <v>46041</v>
      </c>
      <c r="B921" t="s">
        <v>23</v>
      </c>
      <c r="C921" t="s">
        <v>8</v>
      </c>
      <c r="D921" t="s">
        <v>34</v>
      </c>
      <c r="E921" t="s">
        <v>14</v>
      </c>
      <c r="F921" t="s">
        <v>941</v>
      </c>
      <c r="G921">
        <v>9.9811999999999994</v>
      </c>
      <c r="H921" t="str">
        <f t="shared" si="15"/>
        <v>ok</v>
      </c>
    </row>
    <row r="922" spans="1:8" x14ac:dyDescent="0.3">
      <c r="A922" s="2">
        <v>46041</v>
      </c>
      <c r="B922" t="s">
        <v>7</v>
      </c>
      <c r="C922" t="s">
        <v>16</v>
      </c>
      <c r="D922" t="s">
        <v>34</v>
      </c>
      <c r="E922" t="s">
        <v>14</v>
      </c>
      <c r="F922" t="s">
        <v>942</v>
      </c>
      <c r="G922">
        <v>9.9870000000000001</v>
      </c>
      <c r="H922" t="str">
        <f t="shared" si="15"/>
        <v>ok</v>
      </c>
    </row>
    <row r="923" spans="1:8" x14ac:dyDescent="0.3">
      <c r="A923" s="2">
        <v>46041</v>
      </c>
      <c r="B923" t="s">
        <v>23</v>
      </c>
      <c r="C923" t="s">
        <v>16</v>
      </c>
      <c r="D923" t="s">
        <v>13</v>
      </c>
      <c r="E923" t="s">
        <v>28</v>
      </c>
      <c r="F923" t="s">
        <v>943</v>
      </c>
      <c r="G923">
        <v>10.035</v>
      </c>
      <c r="H923" t="str">
        <f t="shared" si="15"/>
        <v>ok</v>
      </c>
    </row>
    <row r="924" spans="1:8" x14ac:dyDescent="0.3">
      <c r="A924" s="2">
        <v>46041</v>
      </c>
      <c r="B924" t="s">
        <v>12</v>
      </c>
      <c r="C924" t="s">
        <v>8</v>
      </c>
      <c r="D924" t="s">
        <v>34</v>
      </c>
      <c r="E924" t="s">
        <v>14</v>
      </c>
      <c r="F924" t="s">
        <v>944</v>
      </c>
      <c r="G924">
        <v>10.003</v>
      </c>
      <c r="H924" t="str">
        <f t="shared" si="15"/>
        <v>ok</v>
      </c>
    </row>
    <row r="925" spans="1:8" x14ac:dyDescent="0.3">
      <c r="A925" s="2">
        <v>46041</v>
      </c>
      <c r="B925" t="s">
        <v>23</v>
      </c>
      <c r="C925" t="s">
        <v>19</v>
      </c>
      <c r="D925" t="s">
        <v>34</v>
      </c>
      <c r="E925" t="s">
        <v>14</v>
      </c>
      <c r="F925" t="s">
        <v>945</v>
      </c>
      <c r="G925">
        <v>10.0161</v>
      </c>
      <c r="H925" t="str">
        <f t="shared" si="15"/>
        <v>ok</v>
      </c>
    </row>
    <row r="926" spans="1:8" x14ac:dyDescent="0.3">
      <c r="A926" s="2">
        <v>46041</v>
      </c>
      <c r="B926" t="s">
        <v>23</v>
      </c>
      <c r="C926" t="s">
        <v>8</v>
      </c>
      <c r="D926" t="s">
        <v>9</v>
      </c>
      <c r="E926" t="s">
        <v>36</v>
      </c>
      <c r="F926" t="s">
        <v>946</v>
      </c>
      <c r="G926">
        <v>10.010899999999999</v>
      </c>
      <c r="H926" t="str">
        <f t="shared" si="15"/>
        <v>ok</v>
      </c>
    </row>
    <row r="927" spans="1:8" x14ac:dyDescent="0.3">
      <c r="A927" s="2">
        <v>46041</v>
      </c>
      <c r="B927" t="s">
        <v>23</v>
      </c>
      <c r="C927" t="s">
        <v>16</v>
      </c>
      <c r="D927" t="s">
        <v>34</v>
      </c>
      <c r="E927" t="s">
        <v>10</v>
      </c>
      <c r="F927" t="s">
        <v>947</v>
      </c>
      <c r="G927">
        <v>10.024800000000001</v>
      </c>
      <c r="H927" t="str">
        <f t="shared" si="15"/>
        <v>ok</v>
      </c>
    </row>
    <row r="928" spans="1:8" x14ac:dyDescent="0.3">
      <c r="A928" s="2">
        <v>46041</v>
      </c>
      <c r="B928" t="s">
        <v>12</v>
      </c>
      <c r="C928" t="s">
        <v>16</v>
      </c>
      <c r="D928" t="s">
        <v>9</v>
      </c>
      <c r="E928" t="s">
        <v>36</v>
      </c>
      <c r="F928" t="s">
        <v>948</v>
      </c>
      <c r="G928">
        <v>9.9699000000000009</v>
      </c>
      <c r="H928" t="str">
        <f t="shared" si="15"/>
        <v>ok</v>
      </c>
    </row>
    <row r="929" spans="1:8" x14ac:dyDescent="0.3">
      <c r="A929" s="2">
        <v>46041</v>
      </c>
      <c r="B929" t="s">
        <v>23</v>
      </c>
      <c r="C929" t="s">
        <v>16</v>
      </c>
      <c r="D929" t="s">
        <v>34</v>
      </c>
      <c r="E929" t="s">
        <v>36</v>
      </c>
      <c r="F929" t="s">
        <v>949</v>
      </c>
      <c r="G929">
        <v>9.9806000000000008</v>
      </c>
      <c r="H929" t="str">
        <f t="shared" si="15"/>
        <v>ok</v>
      </c>
    </row>
    <row r="930" spans="1:8" x14ac:dyDescent="0.3">
      <c r="A930" s="2">
        <v>46041</v>
      </c>
      <c r="B930" t="s">
        <v>7</v>
      </c>
      <c r="C930" t="s">
        <v>19</v>
      </c>
      <c r="D930" t="s">
        <v>9</v>
      </c>
      <c r="E930" t="s">
        <v>21</v>
      </c>
      <c r="F930" t="s">
        <v>950</v>
      </c>
      <c r="G930">
        <v>10.013</v>
      </c>
      <c r="H930" t="str">
        <f t="shared" si="15"/>
        <v>ok</v>
      </c>
    </row>
    <row r="931" spans="1:8" x14ac:dyDescent="0.3">
      <c r="A931" s="2">
        <v>46041</v>
      </c>
      <c r="B931" t="s">
        <v>7</v>
      </c>
      <c r="C931" t="s">
        <v>16</v>
      </c>
      <c r="D931" t="s">
        <v>17</v>
      </c>
      <c r="E931" t="s">
        <v>14</v>
      </c>
      <c r="F931" t="s">
        <v>951</v>
      </c>
      <c r="G931">
        <v>9.9955999999999996</v>
      </c>
      <c r="H931" t="str">
        <f t="shared" si="15"/>
        <v>ok</v>
      </c>
    </row>
    <row r="932" spans="1:8" x14ac:dyDescent="0.3">
      <c r="A932" s="2">
        <v>46041</v>
      </c>
      <c r="B932" t="s">
        <v>7</v>
      </c>
      <c r="C932" t="s">
        <v>19</v>
      </c>
      <c r="D932" t="s">
        <v>9</v>
      </c>
      <c r="E932" t="s">
        <v>14</v>
      </c>
      <c r="F932" t="s">
        <v>952</v>
      </c>
      <c r="G932">
        <v>10.0307</v>
      </c>
      <c r="H932" t="str">
        <f t="shared" si="15"/>
        <v>ok</v>
      </c>
    </row>
    <row r="933" spans="1:8" x14ac:dyDescent="0.3">
      <c r="A933" s="2">
        <v>46041</v>
      </c>
      <c r="B933" t="s">
        <v>7</v>
      </c>
      <c r="C933" t="s">
        <v>8</v>
      </c>
      <c r="D933" t="s">
        <v>17</v>
      </c>
      <c r="E933" t="s">
        <v>28</v>
      </c>
      <c r="F933" t="s">
        <v>953</v>
      </c>
      <c r="G933">
        <v>10.0137</v>
      </c>
      <c r="H933" t="str">
        <f t="shared" si="15"/>
        <v>ok</v>
      </c>
    </row>
    <row r="934" spans="1:8" x14ac:dyDescent="0.3">
      <c r="A934" s="2">
        <v>46041</v>
      </c>
      <c r="B934" t="s">
        <v>12</v>
      </c>
      <c r="C934" t="s">
        <v>19</v>
      </c>
      <c r="D934" t="s">
        <v>13</v>
      </c>
      <c r="E934" t="s">
        <v>21</v>
      </c>
      <c r="F934" t="s">
        <v>954</v>
      </c>
      <c r="G934">
        <v>10.036099999999999</v>
      </c>
      <c r="H934" t="str">
        <f t="shared" si="15"/>
        <v>ok</v>
      </c>
    </row>
    <row r="935" spans="1:8" x14ac:dyDescent="0.3">
      <c r="A935" s="2">
        <v>46041</v>
      </c>
      <c r="B935" t="s">
        <v>23</v>
      </c>
      <c r="C935" t="s">
        <v>19</v>
      </c>
      <c r="D935" t="s">
        <v>9</v>
      </c>
      <c r="E935" t="s">
        <v>36</v>
      </c>
      <c r="F935" t="s">
        <v>955</v>
      </c>
      <c r="G935">
        <v>10.011699999999999</v>
      </c>
      <c r="H935" t="str">
        <f t="shared" si="15"/>
        <v>ok</v>
      </c>
    </row>
    <row r="936" spans="1:8" x14ac:dyDescent="0.3">
      <c r="A936" s="2">
        <v>46041</v>
      </c>
      <c r="B936" t="s">
        <v>7</v>
      </c>
      <c r="C936" t="s">
        <v>16</v>
      </c>
      <c r="D936" t="s">
        <v>17</v>
      </c>
      <c r="E936" t="s">
        <v>36</v>
      </c>
      <c r="F936" t="s">
        <v>956</v>
      </c>
      <c r="G936">
        <v>9.9760000000000009</v>
      </c>
      <c r="H936" t="str">
        <f t="shared" si="15"/>
        <v>ok</v>
      </c>
    </row>
    <row r="937" spans="1:8" x14ac:dyDescent="0.3">
      <c r="A937" s="2">
        <v>46041</v>
      </c>
      <c r="B937" t="s">
        <v>23</v>
      </c>
      <c r="C937" t="s">
        <v>16</v>
      </c>
      <c r="D937" t="s">
        <v>34</v>
      </c>
      <c r="E937" t="s">
        <v>21</v>
      </c>
      <c r="F937" t="s">
        <v>957</v>
      </c>
      <c r="G937">
        <v>10.0114</v>
      </c>
      <c r="H937" t="str">
        <f t="shared" si="15"/>
        <v>ok</v>
      </c>
    </row>
    <row r="938" spans="1:8" x14ac:dyDescent="0.3">
      <c r="A938" s="2">
        <v>46041</v>
      </c>
      <c r="B938" t="s">
        <v>23</v>
      </c>
      <c r="C938" t="s">
        <v>8</v>
      </c>
      <c r="D938" t="s">
        <v>17</v>
      </c>
      <c r="E938" t="s">
        <v>28</v>
      </c>
      <c r="F938" t="s">
        <v>958</v>
      </c>
      <c r="G938">
        <v>10.0359</v>
      </c>
      <c r="H938" t="str">
        <f t="shared" si="15"/>
        <v>ok</v>
      </c>
    </row>
    <row r="939" spans="1:8" x14ac:dyDescent="0.3">
      <c r="A939" s="2">
        <v>46041</v>
      </c>
      <c r="B939" t="s">
        <v>12</v>
      </c>
      <c r="C939" t="s">
        <v>16</v>
      </c>
      <c r="D939" t="s">
        <v>9</v>
      </c>
      <c r="E939" t="s">
        <v>21</v>
      </c>
      <c r="F939" t="s">
        <v>959</v>
      </c>
      <c r="G939">
        <v>10.0016</v>
      </c>
      <c r="H939" t="str">
        <f t="shared" si="15"/>
        <v>ok</v>
      </c>
    </row>
    <row r="940" spans="1:8" x14ac:dyDescent="0.3">
      <c r="A940" s="2">
        <v>46041</v>
      </c>
      <c r="B940" t="s">
        <v>12</v>
      </c>
      <c r="C940" t="s">
        <v>8</v>
      </c>
      <c r="D940" t="s">
        <v>34</v>
      </c>
      <c r="E940" t="s">
        <v>28</v>
      </c>
      <c r="F940" t="s">
        <v>960</v>
      </c>
      <c r="G940">
        <v>9.9882000000000009</v>
      </c>
      <c r="H940" t="str">
        <f t="shared" si="15"/>
        <v>ok</v>
      </c>
    </row>
    <row r="941" spans="1:8" x14ac:dyDescent="0.3">
      <c r="A941" s="2">
        <v>46041</v>
      </c>
      <c r="B941" t="s">
        <v>12</v>
      </c>
      <c r="C941" t="s">
        <v>16</v>
      </c>
      <c r="D941" t="s">
        <v>9</v>
      </c>
      <c r="E941" t="s">
        <v>10</v>
      </c>
      <c r="F941" t="s">
        <v>961</v>
      </c>
      <c r="G941">
        <v>10.0281</v>
      </c>
      <c r="H941" t="str">
        <f t="shared" si="15"/>
        <v>ok</v>
      </c>
    </row>
    <row r="942" spans="1:8" x14ac:dyDescent="0.3">
      <c r="A942" s="2">
        <v>46041</v>
      </c>
      <c r="B942" t="s">
        <v>7</v>
      </c>
      <c r="C942" t="s">
        <v>8</v>
      </c>
      <c r="D942" t="s">
        <v>13</v>
      </c>
      <c r="E942" t="s">
        <v>36</v>
      </c>
      <c r="F942" t="s">
        <v>962</v>
      </c>
      <c r="G942">
        <v>9.9916</v>
      </c>
      <c r="H942" t="str">
        <f t="shared" si="15"/>
        <v>ok</v>
      </c>
    </row>
    <row r="943" spans="1:8" x14ac:dyDescent="0.3">
      <c r="A943" s="2">
        <v>46041</v>
      </c>
      <c r="B943" t="s">
        <v>7</v>
      </c>
      <c r="C943" t="s">
        <v>19</v>
      </c>
      <c r="D943" t="s">
        <v>9</v>
      </c>
      <c r="E943" t="s">
        <v>14</v>
      </c>
      <c r="F943" t="s">
        <v>963</v>
      </c>
      <c r="G943">
        <v>9.9802</v>
      </c>
      <c r="H943" t="str">
        <f t="shared" si="15"/>
        <v>ok</v>
      </c>
    </row>
    <row r="944" spans="1:8" x14ac:dyDescent="0.3">
      <c r="A944" s="2">
        <v>46041</v>
      </c>
      <c r="B944" t="s">
        <v>23</v>
      </c>
      <c r="C944" t="s">
        <v>8</v>
      </c>
      <c r="D944" t="s">
        <v>9</v>
      </c>
      <c r="E944" t="s">
        <v>28</v>
      </c>
      <c r="F944" t="s">
        <v>964</v>
      </c>
      <c r="G944">
        <v>10.009499999999999</v>
      </c>
      <c r="H944" t="str">
        <f t="shared" si="15"/>
        <v>ok</v>
      </c>
    </row>
    <row r="945" spans="1:8" x14ac:dyDescent="0.3">
      <c r="A945" s="2">
        <v>46041</v>
      </c>
      <c r="B945" t="s">
        <v>12</v>
      </c>
      <c r="C945" t="s">
        <v>16</v>
      </c>
      <c r="D945" t="s">
        <v>17</v>
      </c>
      <c r="E945" t="s">
        <v>36</v>
      </c>
      <c r="F945" t="s">
        <v>965</v>
      </c>
      <c r="G945">
        <v>10.0236</v>
      </c>
      <c r="H945" t="str">
        <f t="shared" si="15"/>
        <v>ok</v>
      </c>
    </row>
    <row r="946" spans="1:8" x14ac:dyDescent="0.3">
      <c r="A946" s="2">
        <v>46041</v>
      </c>
      <c r="B946" t="s">
        <v>7</v>
      </c>
      <c r="C946" t="s">
        <v>19</v>
      </c>
      <c r="D946" t="s">
        <v>17</v>
      </c>
      <c r="E946" t="s">
        <v>10</v>
      </c>
      <c r="F946" t="s">
        <v>966</v>
      </c>
      <c r="G946">
        <v>10.026999999999999</v>
      </c>
      <c r="H946" t="str">
        <f t="shared" si="15"/>
        <v>ok</v>
      </c>
    </row>
    <row r="947" spans="1:8" x14ac:dyDescent="0.3">
      <c r="A947" s="2">
        <v>46041</v>
      </c>
      <c r="B947" t="s">
        <v>7</v>
      </c>
      <c r="C947" t="s">
        <v>19</v>
      </c>
      <c r="D947" t="s">
        <v>34</v>
      </c>
      <c r="E947" t="s">
        <v>36</v>
      </c>
      <c r="F947" t="s">
        <v>967</v>
      </c>
      <c r="G947">
        <v>10.0198</v>
      </c>
      <c r="H947" t="str">
        <f t="shared" si="15"/>
        <v>ok</v>
      </c>
    </row>
    <row r="948" spans="1:8" x14ac:dyDescent="0.3">
      <c r="A948" s="2">
        <v>46041</v>
      </c>
      <c r="B948" t="s">
        <v>12</v>
      </c>
      <c r="C948" t="s">
        <v>16</v>
      </c>
      <c r="D948" t="s">
        <v>9</v>
      </c>
      <c r="E948" t="s">
        <v>10</v>
      </c>
      <c r="F948" t="s">
        <v>968</v>
      </c>
      <c r="G948">
        <v>10.037000000000001</v>
      </c>
      <c r="H948" t="str">
        <f t="shared" si="15"/>
        <v>ok</v>
      </c>
    </row>
    <row r="949" spans="1:8" x14ac:dyDescent="0.3">
      <c r="A949" s="2">
        <v>46041</v>
      </c>
      <c r="B949" t="s">
        <v>23</v>
      </c>
      <c r="C949" t="s">
        <v>8</v>
      </c>
      <c r="D949" t="s">
        <v>9</v>
      </c>
      <c r="E949" t="s">
        <v>10</v>
      </c>
      <c r="F949" t="s">
        <v>969</v>
      </c>
      <c r="G949">
        <v>9.9992000000000001</v>
      </c>
      <c r="H949" t="str">
        <f t="shared" si="15"/>
        <v>ok</v>
      </c>
    </row>
    <row r="950" spans="1:8" x14ac:dyDescent="0.3">
      <c r="A950" s="2">
        <v>46041</v>
      </c>
      <c r="B950" t="s">
        <v>12</v>
      </c>
      <c r="C950" t="s">
        <v>8</v>
      </c>
      <c r="D950" t="s">
        <v>13</v>
      </c>
      <c r="E950" t="s">
        <v>36</v>
      </c>
      <c r="F950" t="s">
        <v>970</v>
      </c>
      <c r="G950">
        <v>10.0451</v>
      </c>
      <c r="H950" t="str">
        <f t="shared" si="15"/>
        <v>ok</v>
      </c>
    </row>
    <row r="951" spans="1:8" x14ac:dyDescent="0.3">
      <c r="A951" s="2">
        <v>46041</v>
      </c>
      <c r="B951" t="s">
        <v>23</v>
      </c>
      <c r="C951" t="s">
        <v>16</v>
      </c>
      <c r="D951" t="s">
        <v>9</v>
      </c>
      <c r="E951" t="s">
        <v>28</v>
      </c>
      <c r="F951" t="s">
        <v>971</v>
      </c>
      <c r="G951">
        <v>10.017099999999999</v>
      </c>
      <c r="H951" t="str">
        <f t="shared" si="15"/>
        <v>ok</v>
      </c>
    </row>
    <row r="952" spans="1:8" x14ac:dyDescent="0.3">
      <c r="A952" s="2">
        <v>46042</v>
      </c>
      <c r="B952" t="s">
        <v>23</v>
      </c>
      <c r="C952" t="s">
        <v>8</v>
      </c>
      <c r="D952" t="s">
        <v>34</v>
      </c>
      <c r="E952" t="s">
        <v>21</v>
      </c>
      <c r="F952" t="s">
        <v>972</v>
      </c>
      <c r="G952">
        <v>10.0397</v>
      </c>
      <c r="H952" t="str">
        <f t="shared" si="15"/>
        <v>ok</v>
      </c>
    </row>
    <row r="953" spans="1:8" x14ac:dyDescent="0.3">
      <c r="A953" s="2">
        <v>46042</v>
      </c>
      <c r="B953" t="s">
        <v>7</v>
      </c>
      <c r="C953" t="s">
        <v>16</v>
      </c>
      <c r="D953" t="s">
        <v>13</v>
      </c>
      <c r="E953" t="s">
        <v>21</v>
      </c>
      <c r="F953" t="s">
        <v>973</v>
      </c>
      <c r="G953">
        <v>10.000400000000001</v>
      </c>
      <c r="H953" t="str">
        <f t="shared" si="15"/>
        <v>ok</v>
      </c>
    </row>
    <row r="954" spans="1:8" x14ac:dyDescent="0.3">
      <c r="A954" s="2">
        <v>46042</v>
      </c>
      <c r="B954" t="s">
        <v>12</v>
      </c>
      <c r="C954" t="s">
        <v>19</v>
      </c>
      <c r="D954" t="s">
        <v>13</v>
      </c>
      <c r="E954" t="s">
        <v>14</v>
      </c>
      <c r="F954" t="s">
        <v>974</v>
      </c>
      <c r="G954">
        <v>10.042400000000001</v>
      </c>
      <c r="H954" t="str">
        <f t="shared" si="15"/>
        <v>ok</v>
      </c>
    </row>
    <row r="955" spans="1:8" x14ac:dyDescent="0.3">
      <c r="A955" s="2">
        <v>46042</v>
      </c>
      <c r="B955" t="s">
        <v>23</v>
      </c>
      <c r="C955" t="s">
        <v>8</v>
      </c>
      <c r="D955" t="s">
        <v>17</v>
      </c>
      <c r="E955" t="s">
        <v>21</v>
      </c>
      <c r="F955" t="s">
        <v>975</v>
      </c>
      <c r="G955">
        <v>10.0418</v>
      </c>
      <c r="H955" t="str">
        <f t="shared" si="15"/>
        <v>ok</v>
      </c>
    </row>
    <row r="956" spans="1:8" x14ac:dyDescent="0.3">
      <c r="A956" s="2">
        <v>46042</v>
      </c>
      <c r="B956" t="s">
        <v>7</v>
      </c>
      <c r="C956" t="s">
        <v>16</v>
      </c>
      <c r="D956" t="s">
        <v>13</v>
      </c>
      <c r="E956" t="s">
        <v>21</v>
      </c>
      <c r="F956" t="s">
        <v>976</v>
      </c>
      <c r="G956">
        <v>10.026300000000001</v>
      </c>
      <c r="H956" t="str">
        <f t="shared" si="15"/>
        <v>ok</v>
      </c>
    </row>
    <row r="957" spans="1:8" x14ac:dyDescent="0.3">
      <c r="A957" s="2">
        <v>46042</v>
      </c>
      <c r="B957" t="s">
        <v>23</v>
      </c>
      <c r="C957" t="s">
        <v>8</v>
      </c>
      <c r="D957" t="s">
        <v>34</v>
      </c>
      <c r="E957" t="s">
        <v>14</v>
      </c>
      <c r="F957" t="s">
        <v>977</v>
      </c>
      <c r="G957">
        <v>10.013</v>
      </c>
      <c r="H957" t="str">
        <f t="shared" si="15"/>
        <v>ok</v>
      </c>
    </row>
    <row r="958" spans="1:8" x14ac:dyDescent="0.3">
      <c r="A958" s="2">
        <v>46042</v>
      </c>
      <c r="B958" t="s">
        <v>23</v>
      </c>
      <c r="C958" t="s">
        <v>19</v>
      </c>
      <c r="D958" t="s">
        <v>34</v>
      </c>
      <c r="E958" t="s">
        <v>36</v>
      </c>
      <c r="F958" t="s">
        <v>978</v>
      </c>
      <c r="G958">
        <v>9.9693000000000005</v>
      </c>
      <c r="H958" t="str">
        <f t="shared" si="15"/>
        <v>ok</v>
      </c>
    </row>
    <row r="959" spans="1:8" x14ac:dyDescent="0.3">
      <c r="A959" s="2">
        <v>46042</v>
      </c>
      <c r="B959" t="s">
        <v>12</v>
      </c>
      <c r="C959" t="s">
        <v>16</v>
      </c>
      <c r="D959" t="s">
        <v>13</v>
      </c>
      <c r="E959" t="s">
        <v>21</v>
      </c>
      <c r="F959" t="s">
        <v>979</v>
      </c>
      <c r="G959">
        <v>9.9708000000000006</v>
      </c>
      <c r="H959" t="str">
        <f t="shared" si="15"/>
        <v>ok</v>
      </c>
    </row>
    <row r="960" spans="1:8" x14ac:dyDescent="0.3">
      <c r="A960" s="2">
        <v>46042</v>
      </c>
      <c r="B960" t="s">
        <v>23</v>
      </c>
      <c r="C960" t="s">
        <v>19</v>
      </c>
      <c r="D960" t="s">
        <v>13</v>
      </c>
      <c r="E960" t="s">
        <v>21</v>
      </c>
      <c r="F960" t="s">
        <v>980</v>
      </c>
      <c r="G960">
        <v>10.016299999999999</v>
      </c>
      <c r="H960" t="str">
        <f t="shared" si="15"/>
        <v>ok</v>
      </c>
    </row>
    <row r="961" spans="1:8" x14ac:dyDescent="0.3">
      <c r="A961" s="2">
        <v>46042</v>
      </c>
      <c r="B961" t="s">
        <v>12</v>
      </c>
      <c r="C961" t="s">
        <v>16</v>
      </c>
      <c r="D961" t="s">
        <v>13</v>
      </c>
      <c r="E961" t="s">
        <v>14</v>
      </c>
      <c r="F961" t="s">
        <v>981</v>
      </c>
      <c r="G961">
        <v>10.035600000000001</v>
      </c>
      <c r="H961" t="str">
        <f t="shared" si="15"/>
        <v>ok</v>
      </c>
    </row>
    <row r="962" spans="1:8" x14ac:dyDescent="0.3">
      <c r="A962" s="2">
        <v>46042</v>
      </c>
      <c r="B962" t="s">
        <v>12</v>
      </c>
      <c r="C962" t="s">
        <v>16</v>
      </c>
      <c r="D962" t="s">
        <v>34</v>
      </c>
      <c r="E962" t="s">
        <v>14</v>
      </c>
      <c r="F962" t="s">
        <v>982</v>
      </c>
      <c r="G962">
        <v>10.059200000000001</v>
      </c>
      <c r="H962" t="str">
        <f t="shared" si="15"/>
        <v>ok</v>
      </c>
    </row>
    <row r="963" spans="1:8" x14ac:dyDescent="0.3">
      <c r="A963" s="2">
        <v>46042</v>
      </c>
      <c r="B963" t="s">
        <v>12</v>
      </c>
      <c r="C963" t="s">
        <v>19</v>
      </c>
      <c r="D963" t="s">
        <v>9</v>
      </c>
      <c r="E963" t="s">
        <v>28</v>
      </c>
      <c r="F963" t="s">
        <v>983</v>
      </c>
      <c r="G963">
        <v>10.0352</v>
      </c>
      <c r="H963" t="str">
        <f t="shared" si="15"/>
        <v>ok</v>
      </c>
    </row>
    <row r="964" spans="1:8" x14ac:dyDescent="0.3">
      <c r="A964" s="2">
        <v>46042</v>
      </c>
      <c r="B964" t="s">
        <v>23</v>
      </c>
      <c r="C964" t="s">
        <v>8</v>
      </c>
      <c r="D964" t="s">
        <v>34</v>
      </c>
      <c r="E964" t="s">
        <v>14</v>
      </c>
      <c r="F964" t="s">
        <v>984</v>
      </c>
      <c r="G964">
        <v>10.0068</v>
      </c>
      <c r="H964" t="str">
        <f t="shared" si="15"/>
        <v>ok</v>
      </c>
    </row>
    <row r="965" spans="1:8" x14ac:dyDescent="0.3">
      <c r="A965" s="2">
        <v>46042</v>
      </c>
      <c r="B965" t="s">
        <v>23</v>
      </c>
      <c r="C965" t="s">
        <v>16</v>
      </c>
      <c r="D965" t="s">
        <v>17</v>
      </c>
      <c r="E965" t="s">
        <v>28</v>
      </c>
      <c r="F965" t="s">
        <v>985</v>
      </c>
      <c r="G965">
        <v>10.0076</v>
      </c>
      <c r="H965" t="str">
        <f t="shared" si="15"/>
        <v>ok</v>
      </c>
    </row>
    <row r="966" spans="1:8" x14ac:dyDescent="0.3">
      <c r="A966" s="2">
        <v>46042</v>
      </c>
      <c r="B966" t="s">
        <v>7</v>
      </c>
      <c r="C966" t="s">
        <v>16</v>
      </c>
      <c r="D966" t="s">
        <v>17</v>
      </c>
      <c r="E966" t="s">
        <v>10</v>
      </c>
      <c r="F966" t="s">
        <v>986</v>
      </c>
      <c r="G966">
        <v>9.9833999999999996</v>
      </c>
      <c r="H966" t="str">
        <f t="shared" ref="H966:H1029" si="16">IF(OR(G966&gt;10.5,G966&lt;9.95),"Defect","ok")</f>
        <v>ok</v>
      </c>
    </row>
    <row r="967" spans="1:8" x14ac:dyDescent="0.3">
      <c r="A967" s="2">
        <v>46042</v>
      </c>
      <c r="B967" t="s">
        <v>7</v>
      </c>
      <c r="C967" t="s">
        <v>16</v>
      </c>
      <c r="D967" t="s">
        <v>34</v>
      </c>
      <c r="E967" t="s">
        <v>21</v>
      </c>
      <c r="F967" t="s">
        <v>987</v>
      </c>
      <c r="G967">
        <v>9.9982000000000006</v>
      </c>
      <c r="H967" t="str">
        <f t="shared" si="16"/>
        <v>ok</v>
      </c>
    </row>
    <row r="968" spans="1:8" x14ac:dyDescent="0.3">
      <c r="A968" s="2">
        <v>46042</v>
      </c>
      <c r="B968" t="s">
        <v>12</v>
      </c>
      <c r="C968" t="s">
        <v>16</v>
      </c>
      <c r="D968" t="s">
        <v>17</v>
      </c>
      <c r="E968" t="s">
        <v>28</v>
      </c>
      <c r="F968" t="s">
        <v>988</v>
      </c>
      <c r="G968">
        <v>9.9745000000000008</v>
      </c>
      <c r="H968" t="str">
        <f t="shared" si="16"/>
        <v>ok</v>
      </c>
    </row>
    <row r="969" spans="1:8" x14ac:dyDescent="0.3">
      <c r="A969" s="2">
        <v>46042</v>
      </c>
      <c r="B969" t="s">
        <v>23</v>
      </c>
      <c r="C969" t="s">
        <v>8</v>
      </c>
      <c r="D969" t="s">
        <v>13</v>
      </c>
      <c r="E969" t="s">
        <v>10</v>
      </c>
      <c r="F969" t="s">
        <v>989</v>
      </c>
      <c r="G969">
        <v>10.008599999999999</v>
      </c>
      <c r="H969" t="str">
        <f t="shared" si="16"/>
        <v>ok</v>
      </c>
    </row>
    <row r="970" spans="1:8" x14ac:dyDescent="0.3">
      <c r="A970" s="2">
        <v>46042</v>
      </c>
      <c r="B970" t="s">
        <v>12</v>
      </c>
      <c r="C970" t="s">
        <v>8</v>
      </c>
      <c r="D970" t="s">
        <v>17</v>
      </c>
      <c r="E970" t="s">
        <v>36</v>
      </c>
      <c r="F970" t="s">
        <v>990</v>
      </c>
      <c r="G970">
        <v>10.0037</v>
      </c>
      <c r="H970" t="str">
        <f t="shared" si="16"/>
        <v>ok</v>
      </c>
    </row>
    <row r="971" spans="1:8" x14ac:dyDescent="0.3">
      <c r="A971" s="2">
        <v>46042</v>
      </c>
      <c r="B971" t="s">
        <v>7</v>
      </c>
      <c r="C971" t="s">
        <v>19</v>
      </c>
      <c r="D971" t="s">
        <v>17</v>
      </c>
      <c r="E971" t="s">
        <v>21</v>
      </c>
      <c r="F971" t="s">
        <v>991</v>
      </c>
      <c r="G971">
        <v>10.031599999999999</v>
      </c>
      <c r="H971" t="str">
        <f t="shared" si="16"/>
        <v>ok</v>
      </c>
    </row>
    <row r="972" spans="1:8" x14ac:dyDescent="0.3">
      <c r="A972" s="2">
        <v>46042</v>
      </c>
      <c r="B972" t="s">
        <v>12</v>
      </c>
      <c r="C972" t="s">
        <v>19</v>
      </c>
      <c r="D972" t="s">
        <v>13</v>
      </c>
      <c r="E972" t="s">
        <v>21</v>
      </c>
      <c r="F972" t="s">
        <v>992</v>
      </c>
      <c r="G972">
        <v>9.9917999999999996</v>
      </c>
      <c r="H972" t="str">
        <f t="shared" si="16"/>
        <v>ok</v>
      </c>
    </row>
    <row r="973" spans="1:8" x14ac:dyDescent="0.3">
      <c r="A973" s="2">
        <v>46042</v>
      </c>
      <c r="B973" t="s">
        <v>12</v>
      </c>
      <c r="C973" t="s">
        <v>19</v>
      </c>
      <c r="D973" t="s">
        <v>9</v>
      </c>
      <c r="E973" t="s">
        <v>36</v>
      </c>
      <c r="F973" t="s">
        <v>993</v>
      </c>
      <c r="G973">
        <v>9.9840999999999998</v>
      </c>
      <c r="H973" t="str">
        <f t="shared" si="16"/>
        <v>ok</v>
      </c>
    </row>
    <row r="974" spans="1:8" x14ac:dyDescent="0.3">
      <c r="A974" s="2">
        <v>46042</v>
      </c>
      <c r="B974" t="s">
        <v>23</v>
      </c>
      <c r="C974" t="s">
        <v>16</v>
      </c>
      <c r="D974" t="s">
        <v>34</v>
      </c>
      <c r="E974" t="s">
        <v>10</v>
      </c>
      <c r="F974" t="s">
        <v>994</v>
      </c>
      <c r="G974">
        <v>9.9863999999999997</v>
      </c>
      <c r="H974" t="str">
        <f t="shared" si="16"/>
        <v>ok</v>
      </c>
    </row>
    <row r="975" spans="1:8" x14ac:dyDescent="0.3">
      <c r="A975" s="2">
        <v>46042</v>
      </c>
      <c r="B975" t="s">
        <v>7</v>
      </c>
      <c r="C975" t="s">
        <v>8</v>
      </c>
      <c r="D975" t="s">
        <v>34</v>
      </c>
      <c r="E975" t="s">
        <v>36</v>
      </c>
      <c r="F975" t="s">
        <v>995</v>
      </c>
      <c r="G975">
        <v>10.0283</v>
      </c>
      <c r="H975" t="str">
        <f t="shared" si="16"/>
        <v>ok</v>
      </c>
    </row>
    <row r="976" spans="1:8" x14ac:dyDescent="0.3">
      <c r="A976" s="2">
        <v>46042</v>
      </c>
      <c r="B976" t="s">
        <v>7</v>
      </c>
      <c r="C976" t="s">
        <v>8</v>
      </c>
      <c r="D976" t="s">
        <v>34</v>
      </c>
      <c r="E976" t="s">
        <v>14</v>
      </c>
      <c r="F976" t="s">
        <v>996</v>
      </c>
      <c r="G976">
        <v>9.9905000000000008</v>
      </c>
      <c r="H976" t="str">
        <f t="shared" si="16"/>
        <v>ok</v>
      </c>
    </row>
    <row r="977" spans="1:8" x14ac:dyDescent="0.3">
      <c r="A977" s="2">
        <v>46042</v>
      </c>
      <c r="B977" t="s">
        <v>23</v>
      </c>
      <c r="C977" t="s">
        <v>8</v>
      </c>
      <c r="D977" t="s">
        <v>17</v>
      </c>
      <c r="E977" t="s">
        <v>28</v>
      </c>
      <c r="F977" t="s">
        <v>997</v>
      </c>
      <c r="G977">
        <v>10.0113</v>
      </c>
      <c r="H977" t="str">
        <f t="shared" si="16"/>
        <v>ok</v>
      </c>
    </row>
    <row r="978" spans="1:8" x14ac:dyDescent="0.3">
      <c r="A978" s="2">
        <v>46042</v>
      </c>
      <c r="B978" t="s">
        <v>7</v>
      </c>
      <c r="C978" t="s">
        <v>19</v>
      </c>
      <c r="D978" t="s">
        <v>17</v>
      </c>
      <c r="E978" t="s">
        <v>36</v>
      </c>
      <c r="F978" t="s">
        <v>998</v>
      </c>
      <c r="G978">
        <v>10.0265</v>
      </c>
      <c r="H978" t="str">
        <f t="shared" si="16"/>
        <v>ok</v>
      </c>
    </row>
    <row r="979" spans="1:8" x14ac:dyDescent="0.3">
      <c r="A979" s="2">
        <v>46042</v>
      </c>
      <c r="B979" t="s">
        <v>12</v>
      </c>
      <c r="C979" t="s">
        <v>19</v>
      </c>
      <c r="D979" t="s">
        <v>13</v>
      </c>
      <c r="E979" t="s">
        <v>28</v>
      </c>
      <c r="F979" t="s">
        <v>999</v>
      </c>
      <c r="G979">
        <v>10.0494</v>
      </c>
      <c r="H979" t="str">
        <f t="shared" si="16"/>
        <v>ok</v>
      </c>
    </row>
    <row r="980" spans="1:8" x14ac:dyDescent="0.3">
      <c r="A980" s="2">
        <v>46042</v>
      </c>
      <c r="B980" t="s">
        <v>7</v>
      </c>
      <c r="C980" t="s">
        <v>16</v>
      </c>
      <c r="D980" t="s">
        <v>13</v>
      </c>
      <c r="E980" t="s">
        <v>36</v>
      </c>
      <c r="F980" t="s">
        <v>1000</v>
      </c>
      <c r="G980">
        <v>9.9984999999999999</v>
      </c>
      <c r="H980" t="str">
        <f t="shared" si="16"/>
        <v>ok</v>
      </c>
    </row>
    <row r="981" spans="1:8" x14ac:dyDescent="0.3">
      <c r="A981" s="2">
        <v>46042</v>
      </c>
      <c r="B981" t="s">
        <v>12</v>
      </c>
      <c r="C981" t="s">
        <v>19</v>
      </c>
      <c r="D981" t="s">
        <v>17</v>
      </c>
      <c r="E981" t="s">
        <v>14</v>
      </c>
      <c r="F981" t="s">
        <v>1001</v>
      </c>
      <c r="G981">
        <v>10.034700000000001</v>
      </c>
      <c r="H981" t="str">
        <f t="shared" si="16"/>
        <v>ok</v>
      </c>
    </row>
    <row r="982" spans="1:8" x14ac:dyDescent="0.3">
      <c r="A982" s="2">
        <v>46042</v>
      </c>
      <c r="B982" t="s">
        <v>23</v>
      </c>
      <c r="C982" t="s">
        <v>16</v>
      </c>
      <c r="D982" t="s">
        <v>9</v>
      </c>
      <c r="E982" t="s">
        <v>36</v>
      </c>
      <c r="F982" t="s">
        <v>1002</v>
      </c>
      <c r="G982">
        <v>9.9773999999999994</v>
      </c>
      <c r="H982" t="str">
        <f t="shared" si="16"/>
        <v>ok</v>
      </c>
    </row>
    <row r="983" spans="1:8" x14ac:dyDescent="0.3">
      <c r="A983" s="2">
        <v>46042</v>
      </c>
      <c r="B983" t="s">
        <v>23</v>
      </c>
      <c r="C983" t="s">
        <v>8</v>
      </c>
      <c r="D983" t="s">
        <v>13</v>
      </c>
      <c r="E983" t="s">
        <v>14</v>
      </c>
      <c r="F983" t="s">
        <v>1003</v>
      </c>
      <c r="G983">
        <v>9.9697999999999993</v>
      </c>
      <c r="H983" t="str">
        <f t="shared" si="16"/>
        <v>ok</v>
      </c>
    </row>
    <row r="984" spans="1:8" x14ac:dyDescent="0.3">
      <c r="A984" s="2">
        <v>46042</v>
      </c>
      <c r="B984" t="s">
        <v>12</v>
      </c>
      <c r="C984" t="s">
        <v>16</v>
      </c>
      <c r="D984" t="s">
        <v>17</v>
      </c>
      <c r="E984" t="s">
        <v>10</v>
      </c>
      <c r="F984" t="s">
        <v>1004</v>
      </c>
      <c r="G984">
        <v>10.003</v>
      </c>
      <c r="H984" t="str">
        <f t="shared" si="16"/>
        <v>ok</v>
      </c>
    </row>
    <row r="985" spans="1:8" x14ac:dyDescent="0.3">
      <c r="A985" s="2">
        <v>46042</v>
      </c>
      <c r="B985" t="s">
        <v>7</v>
      </c>
      <c r="C985" t="s">
        <v>16</v>
      </c>
      <c r="D985" t="s">
        <v>17</v>
      </c>
      <c r="E985" t="s">
        <v>36</v>
      </c>
      <c r="F985" t="s">
        <v>1005</v>
      </c>
      <c r="G985">
        <v>10.0402</v>
      </c>
      <c r="H985" t="str">
        <f t="shared" si="16"/>
        <v>ok</v>
      </c>
    </row>
    <row r="986" spans="1:8" x14ac:dyDescent="0.3">
      <c r="A986" s="2">
        <v>46042</v>
      </c>
      <c r="B986" t="s">
        <v>23</v>
      </c>
      <c r="C986" t="s">
        <v>16</v>
      </c>
      <c r="D986" t="s">
        <v>17</v>
      </c>
      <c r="E986" t="s">
        <v>10</v>
      </c>
      <c r="F986" t="s">
        <v>1006</v>
      </c>
      <c r="G986">
        <v>9.9944000000000006</v>
      </c>
      <c r="H986" t="str">
        <f t="shared" si="16"/>
        <v>ok</v>
      </c>
    </row>
    <row r="987" spans="1:8" x14ac:dyDescent="0.3">
      <c r="A987" s="2">
        <v>46042</v>
      </c>
      <c r="B987" t="s">
        <v>12</v>
      </c>
      <c r="C987" t="s">
        <v>16</v>
      </c>
      <c r="D987" t="s">
        <v>17</v>
      </c>
      <c r="E987" t="s">
        <v>10</v>
      </c>
      <c r="F987" t="s">
        <v>1007</v>
      </c>
      <c r="G987">
        <v>10.009600000000001</v>
      </c>
      <c r="H987" t="str">
        <f t="shared" si="16"/>
        <v>ok</v>
      </c>
    </row>
    <row r="988" spans="1:8" x14ac:dyDescent="0.3">
      <c r="A988" s="2">
        <v>46042</v>
      </c>
      <c r="B988" t="s">
        <v>23</v>
      </c>
      <c r="C988" t="s">
        <v>16</v>
      </c>
      <c r="D988" t="s">
        <v>34</v>
      </c>
      <c r="E988" t="s">
        <v>36</v>
      </c>
      <c r="F988" t="s">
        <v>1008</v>
      </c>
      <c r="G988">
        <v>10.010400000000001</v>
      </c>
      <c r="H988" t="str">
        <f t="shared" si="16"/>
        <v>ok</v>
      </c>
    </row>
    <row r="989" spans="1:8" x14ac:dyDescent="0.3">
      <c r="A989" s="2">
        <v>46042</v>
      </c>
      <c r="B989" t="s">
        <v>12</v>
      </c>
      <c r="C989" t="s">
        <v>8</v>
      </c>
      <c r="D989" t="s">
        <v>9</v>
      </c>
      <c r="E989" t="s">
        <v>28</v>
      </c>
      <c r="F989" t="s">
        <v>1009</v>
      </c>
      <c r="G989">
        <v>10.011799999999999</v>
      </c>
      <c r="H989" t="str">
        <f t="shared" si="16"/>
        <v>ok</v>
      </c>
    </row>
    <row r="990" spans="1:8" x14ac:dyDescent="0.3">
      <c r="A990" s="2">
        <v>46042</v>
      </c>
      <c r="B990" t="s">
        <v>23</v>
      </c>
      <c r="C990" t="s">
        <v>19</v>
      </c>
      <c r="D990" t="s">
        <v>9</v>
      </c>
      <c r="E990" t="s">
        <v>21</v>
      </c>
      <c r="F990" t="s">
        <v>1010</v>
      </c>
      <c r="G990">
        <v>10.013</v>
      </c>
      <c r="H990" t="str">
        <f t="shared" si="16"/>
        <v>ok</v>
      </c>
    </row>
    <row r="991" spans="1:8" x14ac:dyDescent="0.3">
      <c r="A991" s="2">
        <v>46042</v>
      </c>
      <c r="B991" t="s">
        <v>12</v>
      </c>
      <c r="C991" t="s">
        <v>16</v>
      </c>
      <c r="D991" t="s">
        <v>17</v>
      </c>
      <c r="E991" t="s">
        <v>14</v>
      </c>
      <c r="F991" t="s">
        <v>1011</v>
      </c>
      <c r="G991">
        <v>9.9944000000000006</v>
      </c>
      <c r="H991" t="str">
        <f t="shared" si="16"/>
        <v>ok</v>
      </c>
    </row>
    <row r="992" spans="1:8" x14ac:dyDescent="0.3">
      <c r="A992" s="2">
        <v>46042</v>
      </c>
      <c r="B992" t="s">
        <v>7</v>
      </c>
      <c r="C992" t="s">
        <v>8</v>
      </c>
      <c r="D992" t="s">
        <v>9</v>
      </c>
      <c r="E992" t="s">
        <v>36</v>
      </c>
      <c r="F992" t="s">
        <v>1012</v>
      </c>
      <c r="G992">
        <v>10.0379</v>
      </c>
      <c r="H992" t="str">
        <f t="shared" si="16"/>
        <v>ok</v>
      </c>
    </row>
    <row r="993" spans="1:8" x14ac:dyDescent="0.3">
      <c r="A993" s="2">
        <v>46042</v>
      </c>
      <c r="B993" t="s">
        <v>23</v>
      </c>
      <c r="C993" t="s">
        <v>16</v>
      </c>
      <c r="D993" t="s">
        <v>9</v>
      </c>
      <c r="E993" t="s">
        <v>36</v>
      </c>
      <c r="F993" t="s">
        <v>1013</v>
      </c>
      <c r="G993">
        <v>9.9986999999999995</v>
      </c>
      <c r="H993" t="str">
        <f t="shared" si="16"/>
        <v>ok</v>
      </c>
    </row>
    <row r="994" spans="1:8" x14ac:dyDescent="0.3">
      <c r="A994" s="2">
        <v>46042</v>
      </c>
      <c r="B994" t="s">
        <v>7</v>
      </c>
      <c r="C994" t="s">
        <v>8</v>
      </c>
      <c r="D994" t="s">
        <v>34</v>
      </c>
      <c r="E994" t="s">
        <v>21</v>
      </c>
      <c r="F994" t="s">
        <v>1014</v>
      </c>
      <c r="G994">
        <v>10.002599999999999</v>
      </c>
      <c r="H994" t="str">
        <f t="shared" si="16"/>
        <v>ok</v>
      </c>
    </row>
    <row r="995" spans="1:8" x14ac:dyDescent="0.3">
      <c r="A995" s="2">
        <v>46042</v>
      </c>
      <c r="B995" t="s">
        <v>7</v>
      </c>
      <c r="C995" t="s">
        <v>8</v>
      </c>
      <c r="D995" t="s">
        <v>34</v>
      </c>
      <c r="E995" t="s">
        <v>28</v>
      </c>
      <c r="F995" t="s">
        <v>1015</v>
      </c>
      <c r="G995">
        <v>9.9978999999999996</v>
      </c>
      <c r="H995" t="str">
        <f t="shared" si="16"/>
        <v>ok</v>
      </c>
    </row>
    <row r="996" spans="1:8" x14ac:dyDescent="0.3">
      <c r="A996" s="2">
        <v>46042</v>
      </c>
      <c r="B996" t="s">
        <v>23</v>
      </c>
      <c r="C996" t="s">
        <v>8</v>
      </c>
      <c r="D996" t="s">
        <v>9</v>
      </c>
      <c r="E996" t="s">
        <v>10</v>
      </c>
      <c r="F996" t="s">
        <v>1016</v>
      </c>
      <c r="G996">
        <v>9.9771000000000001</v>
      </c>
      <c r="H996" t="str">
        <f t="shared" si="16"/>
        <v>ok</v>
      </c>
    </row>
    <row r="997" spans="1:8" x14ac:dyDescent="0.3">
      <c r="A997" s="2">
        <v>46042</v>
      </c>
      <c r="B997" t="s">
        <v>7</v>
      </c>
      <c r="C997" t="s">
        <v>19</v>
      </c>
      <c r="D997" t="s">
        <v>9</v>
      </c>
      <c r="E997" t="s">
        <v>14</v>
      </c>
      <c r="F997" t="s">
        <v>1017</v>
      </c>
      <c r="G997">
        <v>9.9682999999999993</v>
      </c>
      <c r="H997" t="str">
        <f t="shared" si="16"/>
        <v>ok</v>
      </c>
    </row>
    <row r="998" spans="1:8" x14ac:dyDescent="0.3">
      <c r="A998" s="2">
        <v>46042</v>
      </c>
      <c r="B998" t="s">
        <v>12</v>
      </c>
      <c r="C998" t="s">
        <v>19</v>
      </c>
      <c r="D998" t="s">
        <v>9</v>
      </c>
      <c r="E998" t="s">
        <v>10</v>
      </c>
      <c r="F998" t="s">
        <v>1018</v>
      </c>
      <c r="G998">
        <v>10.0603</v>
      </c>
      <c r="H998" t="str">
        <f t="shared" si="16"/>
        <v>ok</v>
      </c>
    </row>
    <row r="999" spans="1:8" x14ac:dyDescent="0.3">
      <c r="A999" s="2">
        <v>46042</v>
      </c>
      <c r="B999" t="s">
        <v>12</v>
      </c>
      <c r="C999" t="s">
        <v>8</v>
      </c>
      <c r="D999" t="s">
        <v>13</v>
      </c>
      <c r="E999" t="s">
        <v>36</v>
      </c>
      <c r="F999" t="s">
        <v>1019</v>
      </c>
      <c r="G999">
        <v>10.000999999999999</v>
      </c>
      <c r="H999" t="str">
        <f t="shared" si="16"/>
        <v>ok</v>
      </c>
    </row>
    <row r="1000" spans="1:8" x14ac:dyDescent="0.3">
      <c r="A1000" s="2">
        <v>46042</v>
      </c>
      <c r="B1000" t="s">
        <v>7</v>
      </c>
      <c r="C1000" t="s">
        <v>16</v>
      </c>
      <c r="D1000" t="s">
        <v>13</v>
      </c>
      <c r="E1000" t="s">
        <v>14</v>
      </c>
      <c r="F1000" t="s">
        <v>1020</v>
      </c>
      <c r="G1000">
        <v>10.0547</v>
      </c>
      <c r="H1000" t="str">
        <f t="shared" si="16"/>
        <v>ok</v>
      </c>
    </row>
    <row r="1001" spans="1:8" x14ac:dyDescent="0.3">
      <c r="A1001" s="2">
        <v>46042</v>
      </c>
      <c r="B1001" t="s">
        <v>7</v>
      </c>
      <c r="C1001" t="s">
        <v>8</v>
      </c>
      <c r="D1001" t="s">
        <v>13</v>
      </c>
      <c r="E1001" t="s">
        <v>21</v>
      </c>
      <c r="F1001" t="s">
        <v>1021</v>
      </c>
      <c r="G1001">
        <v>9.9875000000000007</v>
      </c>
      <c r="H1001" t="str">
        <f t="shared" si="16"/>
        <v>ok</v>
      </c>
    </row>
    <row r="1002" spans="1:8" x14ac:dyDescent="0.3">
      <c r="A1002" s="2">
        <v>46043</v>
      </c>
      <c r="B1002" t="s">
        <v>12</v>
      </c>
      <c r="C1002" t="s">
        <v>16</v>
      </c>
      <c r="D1002" t="s">
        <v>9</v>
      </c>
      <c r="E1002" t="s">
        <v>21</v>
      </c>
      <c r="F1002" t="s">
        <v>1022</v>
      </c>
      <c r="G1002">
        <v>10.042400000000001</v>
      </c>
      <c r="H1002" t="str">
        <f t="shared" si="16"/>
        <v>ok</v>
      </c>
    </row>
    <row r="1003" spans="1:8" x14ac:dyDescent="0.3">
      <c r="A1003" s="2">
        <v>46043</v>
      </c>
      <c r="B1003" t="s">
        <v>23</v>
      </c>
      <c r="C1003" t="s">
        <v>16</v>
      </c>
      <c r="D1003" t="s">
        <v>9</v>
      </c>
      <c r="E1003" t="s">
        <v>28</v>
      </c>
      <c r="F1003" t="s">
        <v>1023</v>
      </c>
      <c r="G1003">
        <v>9.9821000000000009</v>
      </c>
      <c r="H1003" t="str">
        <f t="shared" si="16"/>
        <v>ok</v>
      </c>
    </row>
    <row r="1004" spans="1:8" x14ac:dyDescent="0.3">
      <c r="A1004" s="2">
        <v>46043</v>
      </c>
      <c r="B1004" t="s">
        <v>23</v>
      </c>
      <c r="C1004" t="s">
        <v>8</v>
      </c>
      <c r="D1004" t="s">
        <v>34</v>
      </c>
      <c r="E1004" t="s">
        <v>36</v>
      </c>
      <c r="F1004" t="s">
        <v>1024</v>
      </c>
      <c r="G1004">
        <v>9.9860000000000007</v>
      </c>
      <c r="H1004" t="str">
        <f t="shared" si="16"/>
        <v>ok</v>
      </c>
    </row>
    <row r="1005" spans="1:8" x14ac:dyDescent="0.3">
      <c r="A1005" s="2">
        <v>46043</v>
      </c>
      <c r="B1005" t="s">
        <v>12</v>
      </c>
      <c r="C1005" t="s">
        <v>19</v>
      </c>
      <c r="D1005" t="s">
        <v>9</v>
      </c>
      <c r="E1005" t="s">
        <v>28</v>
      </c>
      <c r="F1005" t="s">
        <v>1025</v>
      </c>
      <c r="G1005">
        <v>10.0014</v>
      </c>
      <c r="H1005" t="str">
        <f t="shared" si="16"/>
        <v>ok</v>
      </c>
    </row>
    <row r="1006" spans="1:8" x14ac:dyDescent="0.3">
      <c r="A1006" s="2">
        <v>46043</v>
      </c>
      <c r="B1006" t="s">
        <v>23</v>
      </c>
      <c r="C1006" t="s">
        <v>8</v>
      </c>
      <c r="D1006" t="s">
        <v>13</v>
      </c>
      <c r="E1006" t="s">
        <v>14</v>
      </c>
      <c r="F1006" t="s">
        <v>1026</v>
      </c>
      <c r="G1006">
        <v>10.000299999999999</v>
      </c>
      <c r="H1006" t="str">
        <f t="shared" si="16"/>
        <v>ok</v>
      </c>
    </row>
    <row r="1007" spans="1:8" x14ac:dyDescent="0.3">
      <c r="A1007" s="2">
        <v>46043</v>
      </c>
      <c r="B1007" t="s">
        <v>12</v>
      </c>
      <c r="C1007" t="s">
        <v>19</v>
      </c>
      <c r="D1007" t="s">
        <v>34</v>
      </c>
      <c r="E1007" t="s">
        <v>10</v>
      </c>
      <c r="F1007" t="s">
        <v>1027</v>
      </c>
      <c r="G1007">
        <v>9.9817</v>
      </c>
      <c r="H1007" t="str">
        <f t="shared" si="16"/>
        <v>ok</v>
      </c>
    </row>
    <row r="1008" spans="1:8" x14ac:dyDescent="0.3">
      <c r="A1008" s="2">
        <v>46043</v>
      </c>
      <c r="B1008" t="s">
        <v>23</v>
      </c>
      <c r="C1008" t="s">
        <v>8</v>
      </c>
      <c r="D1008" t="s">
        <v>13</v>
      </c>
      <c r="E1008" t="s">
        <v>10</v>
      </c>
      <c r="F1008" t="s">
        <v>1028</v>
      </c>
      <c r="G1008">
        <v>9.9702000000000002</v>
      </c>
      <c r="H1008" t="str">
        <f t="shared" si="16"/>
        <v>ok</v>
      </c>
    </row>
    <row r="1009" spans="1:8" x14ac:dyDescent="0.3">
      <c r="A1009" s="2">
        <v>46043</v>
      </c>
      <c r="B1009" t="s">
        <v>23</v>
      </c>
      <c r="C1009" t="s">
        <v>8</v>
      </c>
      <c r="D1009" t="s">
        <v>34</v>
      </c>
      <c r="E1009" t="s">
        <v>21</v>
      </c>
      <c r="F1009" t="s">
        <v>1029</v>
      </c>
      <c r="G1009">
        <v>10.0375</v>
      </c>
      <c r="H1009" t="str">
        <f t="shared" si="16"/>
        <v>ok</v>
      </c>
    </row>
    <row r="1010" spans="1:8" x14ac:dyDescent="0.3">
      <c r="A1010" s="2">
        <v>46043</v>
      </c>
      <c r="B1010" t="s">
        <v>23</v>
      </c>
      <c r="C1010" t="s">
        <v>8</v>
      </c>
      <c r="D1010" t="s">
        <v>17</v>
      </c>
      <c r="E1010" t="s">
        <v>10</v>
      </c>
      <c r="F1010" t="s">
        <v>1030</v>
      </c>
      <c r="G1010">
        <v>9.9968000000000004</v>
      </c>
      <c r="H1010" t="str">
        <f t="shared" si="16"/>
        <v>ok</v>
      </c>
    </row>
    <row r="1011" spans="1:8" x14ac:dyDescent="0.3">
      <c r="A1011" s="2">
        <v>46043</v>
      </c>
      <c r="B1011" t="s">
        <v>12</v>
      </c>
      <c r="C1011" t="s">
        <v>16</v>
      </c>
      <c r="D1011" t="s">
        <v>17</v>
      </c>
      <c r="E1011" t="s">
        <v>10</v>
      </c>
      <c r="F1011" t="s">
        <v>1031</v>
      </c>
      <c r="G1011">
        <v>10.0753</v>
      </c>
      <c r="H1011" t="str">
        <f t="shared" si="16"/>
        <v>ok</v>
      </c>
    </row>
    <row r="1012" spans="1:8" x14ac:dyDescent="0.3">
      <c r="A1012" s="2">
        <v>46043</v>
      </c>
      <c r="B1012" t="s">
        <v>23</v>
      </c>
      <c r="C1012" t="s">
        <v>8</v>
      </c>
      <c r="D1012" t="s">
        <v>17</v>
      </c>
      <c r="E1012" t="s">
        <v>21</v>
      </c>
      <c r="F1012" t="s">
        <v>1032</v>
      </c>
      <c r="G1012">
        <v>10.017799999999999</v>
      </c>
      <c r="H1012" t="str">
        <f t="shared" si="16"/>
        <v>ok</v>
      </c>
    </row>
    <row r="1013" spans="1:8" x14ac:dyDescent="0.3">
      <c r="A1013" s="2">
        <v>46043</v>
      </c>
      <c r="B1013" t="s">
        <v>23</v>
      </c>
      <c r="C1013" t="s">
        <v>8</v>
      </c>
      <c r="D1013" t="s">
        <v>17</v>
      </c>
      <c r="E1013" t="s">
        <v>10</v>
      </c>
      <c r="F1013" t="s">
        <v>1033</v>
      </c>
      <c r="G1013">
        <v>10.018000000000001</v>
      </c>
      <c r="H1013" t="str">
        <f t="shared" si="16"/>
        <v>ok</v>
      </c>
    </row>
    <row r="1014" spans="1:8" x14ac:dyDescent="0.3">
      <c r="A1014" s="2">
        <v>46043</v>
      </c>
      <c r="B1014" t="s">
        <v>7</v>
      </c>
      <c r="C1014" t="s">
        <v>8</v>
      </c>
      <c r="D1014" t="s">
        <v>34</v>
      </c>
      <c r="E1014" t="s">
        <v>28</v>
      </c>
      <c r="F1014" t="s">
        <v>1034</v>
      </c>
      <c r="G1014">
        <v>9.9936000000000007</v>
      </c>
      <c r="H1014" t="str">
        <f t="shared" si="16"/>
        <v>ok</v>
      </c>
    </row>
    <row r="1015" spans="1:8" x14ac:dyDescent="0.3">
      <c r="A1015" s="2">
        <v>46043</v>
      </c>
      <c r="B1015" t="s">
        <v>23</v>
      </c>
      <c r="C1015" t="s">
        <v>8</v>
      </c>
      <c r="D1015" t="s">
        <v>34</v>
      </c>
      <c r="E1015" t="s">
        <v>14</v>
      </c>
      <c r="F1015" t="s">
        <v>1035</v>
      </c>
      <c r="G1015">
        <v>9.9914000000000005</v>
      </c>
      <c r="H1015" t="str">
        <f t="shared" si="16"/>
        <v>ok</v>
      </c>
    </row>
    <row r="1016" spans="1:8" x14ac:dyDescent="0.3">
      <c r="A1016" s="2">
        <v>46043</v>
      </c>
      <c r="B1016" t="s">
        <v>7</v>
      </c>
      <c r="C1016" t="s">
        <v>19</v>
      </c>
      <c r="D1016" t="s">
        <v>34</v>
      </c>
      <c r="E1016" t="s">
        <v>14</v>
      </c>
      <c r="F1016" t="s">
        <v>1036</v>
      </c>
      <c r="G1016">
        <v>9.9783000000000008</v>
      </c>
      <c r="H1016" t="str">
        <f t="shared" si="16"/>
        <v>ok</v>
      </c>
    </row>
    <row r="1017" spans="1:8" x14ac:dyDescent="0.3">
      <c r="A1017" s="2">
        <v>46043</v>
      </c>
      <c r="B1017" t="s">
        <v>7</v>
      </c>
      <c r="C1017" t="s">
        <v>8</v>
      </c>
      <c r="D1017" t="s">
        <v>17</v>
      </c>
      <c r="E1017" t="s">
        <v>36</v>
      </c>
      <c r="F1017" t="s">
        <v>1037</v>
      </c>
      <c r="G1017">
        <v>10.0039</v>
      </c>
      <c r="H1017" t="str">
        <f t="shared" si="16"/>
        <v>ok</v>
      </c>
    </row>
    <row r="1018" spans="1:8" x14ac:dyDescent="0.3">
      <c r="A1018" s="2">
        <v>46043</v>
      </c>
      <c r="B1018" t="s">
        <v>12</v>
      </c>
      <c r="C1018" t="s">
        <v>19</v>
      </c>
      <c r="D1018" t="s">
        <v>34</v>
      </c>
      <c r="E1018" t="s">
        <v>14</v>
      </c>
      <c r="F1018" t="s">
        <v>1038</v>
      </c>
      <c r="G1018">
        <v>9.9762000000000004</v>
      </c>
      <c r="H1018" t="str">
        <f t="shared" si="16"/>
        <v>ok</v>
      </c>
    </row>
    <row r="1019" spans="1:8" x14ac:dyDescent="0.3">
      <c r="A1019" s="2">
        <v>46043</v>
      </c>
      <c r="B1019" t="s">
        <v>7</v>
      </c>
      <c r="C1019" t="s">
        <v>16</v>
      </c>
      <c r="D1019" t="s">
        <v>9</v>
      </c>
      <c r="E1019" t="s">
        <v>14</v>
      </c>
      <c r="F1019" t="s">
        <v>1039</v>
      </c>
      <c r="G1019">
        <v>10.0113</v>
      </c>
      <c r="H1019" t="str">
        <f t="shared" si="16"/>
        <v>ok</v>
      </c>
    </row>
    <row r="1020" spans="1:8" x14ac:dyDescent="0.3">
      <c r="A1020" s="2">
        <v>46043</v>
      </c>
      <c r="B1020" t="s">
        <v>23</v>
      </c>
      <c r="C1020" t="s">
        <v>8</v>
      </c>
      <c r="D1020" t="s">
        <v>17</v>
      </c>
      <c r="E1020" t="s">
        <v>36</v>
      </c>
      <c r="F1020" t="s">
        <v>1040</v>
      </c>
      <c r="G1020">
        <v>9.9749999999999996</v>
      </c>
      <c r="H1020" t="str">
        <f t="shared" si="16"/>
        <v>ok</v>
      </c>
    </row>
    <row r="1021" spans="1:8" x14ac:dyDescent="0.3">
      <c r="A1021" s="2">
        <v>46043</v>
      </c>
      <c r="B1021" t="s">
        <v>12</v>
      </c>
      <c r="C1021" t="s">
        <v>19</v>
      </c>
      <c r="D1021" t="s">
        <v>34</v>
      </c>
      <c r="E1021" t="s">
        <v>36</v>
      </c>
      <c r="F1021" t="s">
        <v>1041</v>
      </c>
      <c r="G1021">
        <v>10.054</v>
      </c>
      <c r="H1021" t="str">
        <f t="shared" si="16"/>
        <v>ok</v>
      </c>
    </row>
    <row r="1022" spans="1:8" x14ac:dyDescent="0.3">
      <c r="A1022" s="2">
        <v>46043</v>
      </c>
      <c r="B1022" t="s">
        <v>7</v>
      </c>
      <c r="C1022" t="s">
        <v>16</v>
      </c>
      <c r="D1022" t="s">
        <v>34</v>
      </c>
      <c r="E1022" t="s">
        <v>14</v>
      </c>
      <c r="F1022" t="s">
        <v>1042</v>
      </c>
      <c r="G1022">
        <v>10.000400000000001</v>
      </c>
      <c r="H1022" t="str">
        <f t="shared" si="16"/>
        <v>ok</v>
      </c>
    </row>
    <row r="1023" spans="1:8" x14ac:dyDescent="0.3">
      <c r="A1023" s="2">
        <v>46043</v>
      </c>
      <c r="B1023" t="s">
        <v>12</v>
      </c>
      <c r="C1023" t="s">
        <v>8</v>
      </c>
      <c r="D1023" t="s">
        <v>17</v>
      </c>
      <c r="E1023" t="s">
        <v>10</v>
      </c>
      <c r="F1023" t="s">
        <v>1043</v>
      </c>
      <c r="G1023">
        <v>10.029199999999999</v>
      </c>
      <c r="H1023" t="str">
        <f t="shared" si="16"/>
        <v>ok</v>
      </c>
    </row>
    <row r="1024" spans="1:8" x14ac:dyDescent="0.3">
      <c r="A1024" s="2">
        <v>46043</v>
      </c>
      <c r="B1024" t="s">
        <v>12</v>
      </c>
      <c r="C1024" t="s">
        <v>19</v>
      </c>
      <c r="D1024" t="s">
        <v>34</v>
      </c>
      <c r="E1024" t="s">
        <v>14</v>
      </c>
      <c r="F1024" t="s">
        <v>1044</v>
      </c>
      <c r="G1024">
        <v>10.0572</v>
      </c>
      <c r="H1024" t="str">
        <f t="shared" si="16"/>
        <v>ok</v>
      </c>
    </row>
    <row r="1025" spans="1:8" x14ac:dyDescent="0.3">
      <c r="A1025" s="2">
        <v>46043</v>
      </c>
      <c r="B1025" t="s">
        <v>12</v>
      </c>
      <c r="C1025" t="s">
        <v>19</v>
      </c>
      <c r="D1025" t="s">
        <v>9</v>
      </c>
      <c r="E1025" t="s">
        <v>10</v>
      </c>
      <c r="F1025" t="s">
        <v>1045</v>
      </c>
      <c r="G1025">
        <v>10.0341</v>
      </c>
      <c r="H1025" t="str">
        <f t="shared" si="16"/>
        <v>ok</v>
      </c>
    </row>
    <row r="1026" spans="1:8" x14ac:dyDescent="0.3">
      <c r="A1026" s="2">
        <v>46043</v>
      </c>
      <c r="B1026" t="s">
        <v>7</v>
      </c>
      <c r="C1026" t="s">
        <v>8</v>
      </c>
      <c r="D1026" t="s">
        <v>17</v>
      </c>
      <c r="E1026" t="s">
        <v>21</v>
      </c>
      <c r="F1026" t="s">
        <v>1046</v>
      </c>
      <c r="G1026">
        <v>9.9632000000000005</v>
      </c>
      <c r="H1026" t="str">
        <f t="shared" si="16"/>
        <v>ok</v>
      </c>
    </row>
    <row r="1027" spans="1:8" x14ac:dyDescent="0.3">
      <c r="A1027" s="2">
        <v>46043</v>
      </c>
      <c r="B1027" t="s">
        <v>7</v>
      </c>
      <c r="C1027" t="s">
        <v>8</v>
      </c>
      <c r="D1027" t="s">
        <v>34</v>
      </c>
      <c r="E1027" t="s">
        <v>21</v>
      </c>
      <c r="F1027" t="s">
        <v>1047</v>
      </c>
      <c r="G1027">
        <v>9.9649000000000001</v>
      </c>
      <c r="H1027" t="str">
        <f t="shared" si="16"/>
        <v>ok</v>
      </c>
    </row>
    <row r="1028" spans="1:8" x14ac:dyDescent="0.3">
      <c r="A1028" s="2">
        <v>46043</v>
      </c>
      <c r="B1028" t="s">
        <v>12</v>
      </c>
      <c r="C1028" t="s">
        <v>16</v>
      </c>
      <c r="D1028" t="s">
        <v>17</v>
      </c>
      <c r="E1028" t="s">
        <v>14</v>
      </c>
      <c r="F1028" t="s">
        <v>1048</v>
      </c>
      <c r="G1028">
        <v>10.0251</v>
      </c>
      <c r="H1028" t="str">
        <f t="shared" si="16"/>
        <v>ok</v>
      </c>
    </row>
    <row r="1029" spans="1:8" x14ac:dyDescent="0.3">
      <c r="A1029" s="2">
        <v>46043</v>
      </c>
      <c r="B1029" t="s">
        <v>7</v>
      </c>
      <c r="C1029" t="s">
        <v>19</v>
      </c>
      <c r="D1029" t="s">
        <v>17</v>
      </c>
      <c r="E1029" t="s">
        <v>21</v>
      </c>
      <c r="F1029" t="s">
        <v>1049</v>
      </c>
      <c r="G1029">
        <v>9.9918999999999993</v>
      </c>
      <c r="H1029" t="str">
        <f t="shared" si="16"/>
        <v>ok</v>
      </c>
    </row>
    <row r="1030" spans="1:8" x14ac:dyDescent="0.3">
      <c r="A1030" s="2">
        <v>46043</v>
      </c>
      <c r="B1030" t="s">
        <v>7</v>
      </c>
      <c r="C1030" t="s">
        <v>16</v>
      </c>
      <c r="D1030" t="s">
        <v>17</v>
      </c>
      <c r="E1030" t="s">
        <v>28</v>
      </c>
      <c r="F1030" t="s">
        <v>1050</v>
      </c>
      <c r="G1030">
        <v>9.9689999999999994</v>
      </c>
      <c r="H1030" t="str">
        <f t="shared" ref="H1030:H1093" si="17">IF(OR(G1030&gt;10.5,G1030&lt;9.95),"Defect","ok")</f>
        <v>ok</v>
      </c>
    </row>
    <row r="1031" spans="1:8" x14ac:dyDescent="0.3">
      <c r="A1031" s="2">
        <v>46043</v>
      </c>
      <c r="B1031" t="s">
        <v>23</v>
      </c>
      <c r="C1031" t="s">
        <v>16</v>
      </c>
      <c r="D1031" t="s">
        <v>9</v>
      </c>
      <c r="E1031" t="s">
        <v>28</v>
      </c>
      <c r="F1031" t="s">
        <v>1051</v>
      </c>
      <c r="G1031">
        <v>10.0298</v>
      </c>
      <c r="H1031" t="str">
        <f t="shared" si="17"/>
        <v>ok</v>
      </c>
    </row>
    <row r="1032" spans="1:8" x14ac:dyDescent="0.3">
      <c r="A1032" s="2">
        <v>46043</v>
      </c>
      <c r="B1032" t="s">
        <v>7</v>
      </c>
      <c r="C1032" t="s">
        <v>8</v>
      </c>
      <c r="D1032" t="s">
        <v>34</v>
      </c>
      <c r="E1032" t="s">
        <v>36</v>
      </c>
      <c r="F1032" t="s">
        <v>1052</v>
      </c>
      <c r="G1032">
        <v>9.9909999999999997</v>
      </c>
      <c r="H1032" t="str">
        <f t="shared" si="17"/>
        <v>ok</v>
      </c>
    </row>
    <row r="1033" spans="1:8" x14ac:dyDescent="0.3">
      <c r="A1033" s="2">
        <v>46043</v>
      </c>
      <c r="B1033" t="s">
        <v>23</v>
      </c>
      <c r="C1033" t="s">
        <v>19</v>
      </c>
      <c r="D1033" t="s">
        <v>34</v>
      </c>
      <c r="E1033" t="s">
        <v>36</v>
      </c>
      <c r="F1033" t="s">
        <v>1053</v>
      </c>
      <c r="G1033">
        <v>10.0137</v>
      </c>
      <c r="H1033" t="str">
        <f t="shared" si="17"/>
        <v>ok</v>
      </c>
    </row>
    <row r="1034" spans="1:8" x14ac:dyDescent="0.3">
      <c r="A1034" s="2">
        <v>46043</v>
      </c>
      <c r="B1034" t="s">
        <v>12</v>
      </c>
      <c r="C1034" t="s">
        <v>16</v>
      </c>
      <c r="D1034" t="s">
        <v>13</v>
      </c>
      <c r="E1034" t="s">
        <v>36</v>
      </c>
      <c r="F1034" t="s">
        <v>1054</v>
      </c>
      <c r="G1034">
        <v>10.0457</v>
      </c>
      <c r="H1034" t="str">
        <f t="shared" si="17"/>
        <v>ok</v>
      </c>
    </row>
    <row r="1035" spans="1:8" x14ac:dyDescent="0.3">
      <c r="A1035" s="2">
        <v>46043</v>
      </c>
      <c r="B1035" t="s">
        <v>23</v>
      </c>
      <c r="C1035" t="s">
        <v>8</v>
      </c>
      <c r="D1035" t="s">
        <v>34</v>
      </c>
      <c r="E1035" t="s">
        <v>28</v>
      </c>
      <c r="F1035" t="s">
        <v>1055</v>
      </c>
      <c r="G1035">
        <v>10.025399999999999</v>
      </c>
      <c r="H1035" t="str">
        <f t="shared" si="17"/>
        <v>ok</v>
      </c>
    </row>
    <row r="1036" spans="1:8" x14ac:dyDescent="0.3">
      <c r="A1036" s="2">
        <v>46043</v>
      </c>
      <c r="B1036" t="s">
        <v>12</v>
      </c>
      <c r="C1036" t="s">
        <v>19</v>
      </c>
      <c r="D1036" t="s">
        <v>13</v>
      </c>
      <c r="E1036" t="s">
        <v>10</v>
      </c>
      <c r="F1036" t="s">
        <v>1056</v>
      </c>
      <c r="G1036">
        <v>10.0678</v>
      </c>
      <c r="H1036" t="str">
        <f t="shared" si="17"/>
        <v>ok</v>
      </c>
    </row>
    <row r="1037" spans="1:8" x14ac:dyDescent="0.3">
      <c r="A1037" s="2">
        <v>46043</v>
      </c>
      <c r="B1037" t="s">
        <v>7</v>
      </c>
      <c r="C1037" t="s">
        <v>8</v>
      </c>
      <c r="D1037" t="s">
        <v>34</v>
      </c>
      <c r="E1037" t="s">
        <v>21</v>
      </c>
      <c r="F1037" t="s">
        <v>1057</v>
      </c>
      <c r="G1037">
        <v>10</v>
      </c>
      <c r="H1037" t="str">
        <f t="shared" si="17"/>
        <v>ok</v>
      </c>
    </row>
    <row r="1038" spans="1:8" x14ac:dyDescent="0.3">
      <c r="A1038" s="2">
        <v>46043</v>
      </c>
      <c r="B1038" t="s">
        <v>7</v>
      </c>
      <c r="C1038" t="s">
        <v>16</v>
      </c>
      <c r="D1038" t="s">
        <v>9</v>
      </c>
      <c r="E1038" t="s">
        <v>14</v>
      </c>
      <c r="F1038" t="s">
        <v>1058</v>
      </c>
      <c r="G1038">
        <v>10.0145</v>
      </c>
      <c r="H1038" t="str">
        <f t="shared" si="17"/>
        <v>ok</v>
      </c>
    </row>
    <row r="1039" spans="1:8" x14ac:dyDescent="0.3">
      <c r="A1039" s="2">
        <v>46043</v>
      </c>
      <c r="B1039" t="s">
        <v>7</v>
      </c>
      <c r="C1039" t="s">
        <v>19</v>
      </c>
      <c r="D1039" t="s">
        <v>9</v>
      </c>
      <c r="E1039" t="s">
        <v>36</v>
      </c>
      <c r="F1039" t="s">
        <v>1059</v>
      </c>
      <c r="G1039">
        <v>9.9670000000000005</v>
      </c>
      <c r="H1039" t="str">
        <f t="shared" si="17"/>
        <v>ok</v>
      </c>
    </row>
    <row r="1040" spans="1:8" x14ac:dyDescent="0.3">
      <c r="A1040" s="2">
        <v>46043</v>
      </c>
      <c r="B1040" t="s">
        <v>23</v>
      </c>
      <c r="C1040" t="s">
        <v>19</v>
      </c>
      <c r="D1040" t="s">
        <v>17</v>
      </c>
      <c r="E1040" t="s">
        <v>36</v>
      </c>
      <c r="F1040" t="s">
        <v>1060</v>
      </c>
      <c r="G1040">
        <v>10.0397</v>
      </c>
      <c r="H1040" t="str">
        <f t="shared" si="17"/>
        <v>ok</v>
      </c>
    </row>
    <row r="1041" spans="1:8" x14ac:dyDescent="0.3">
      <c r="A1041" s="2">
        <v>46043</v>
      </c>
      <c r="B1041" t="s">
        <v>23</v>
      </c>
      <c r="C1041" t="s">
        <v>19</v>
      </c>
      <c r="D1041" t="s">
        <v>17</v>
      </c>
      <c r="E1041" t="s">
        <v>14</v>
      </c>
      <c r="F1041" t="s">
        <v>1061</v>
      </c>
      <c r="G1041">
        <v>9.9970999999999997</v>
      </c>
      <c r="H1041" t="str">
        <f t="shared" si="17"/>
        <v>ok</v>
      </c>
    </row>
    <row r="1042" spans="1:8" x14ac:dyDescent="0.3">
      <c r="A1042" s="2">
        <v>46043</v>
      </c>
      <c r="B1042" t="s">
        <v>7</v>
      </c>
      <c r="C1042" t="s">
        <v>19</v>
      </c>
      <c r="D1042" t="s">
        <v>34</v>
      </c>
      <c r="E1042" t="s">
        <v>14</v>
      </c>
      <c r="F1042" t="s">
        <v>1062</v>
      </c>
      <c r="G1042">
        <v>10.0014</v>
      </c>
      <c r="H1042" t="str">
        <f t="shared" si="17"/>
        <v>ok</v>
      </c>
    </row>
    <row r="1043" spans="1:8" x14ac:dyDescent="0.3">
      <c r="A1043" s="2">
        <v>46043</v>
      </c>
      <c r="B1043" t="s">
        <v>7</v>
      </c>
      <c r="C1043" t="s">
        <v>16</v>
      </c>
      <c r="D1043" t="s">
        <v>17</v>
      </c>
      <c r="E1043" t="s">
        <v>28</v>
      </c>
      <c r="F1043" t="s">
        <v>1063</v>
      </c>
      <c r="G1043">
        <v>10.0328</v>
      </c>
      <c r="H1043" t="str">
        <f t="shared" si="17"/>
        <v>ok</v>
      </c>
    </row>
    <row r="1044" spans="1:8" x14ac:dyDescent="0.3">
      <c r="A1044" s="2">
        <v>46043</v>
      </c>
      <c r="B1044" t="s">
        <v>23</v>
      </c>
      <c r="C1044" t="s">
        <v>8</v>
      </c>
      <c r="D1044" t="s">
        <v>17</v>
      </c>
      <c r="E1044" t="s">
        <v>36</v>
      </c>
      <c r="F1044" t="s">
        <v>1064</v>
      </c>
      <c r="G1044">
        <v>9.9946000000000002</v>
      </c>
      <c r="H1044" t="str">
        <f t="shared" si="17"/>
        <v>ok</v>
      </c>
    </row>
    <row r="1045" spans="1:8" x14ac:dyDescent="0.3">
      <c r="A1045" s="2">
        <v>46043</v>
      </c>
      <c r="B1045" t="s">
        <v>12</v>
      </c>
      <c r="C1045" t="s">
        <v>8</v>
      </c>
      <c r="D1045" t="s">
        <v>9</v>
      </c>
      <c r="E1045" t="s">
        <v>14</v>
      </c>
      <c r="F1045" t="s">
        <v>1065</v>
      </c>
      <c r="G1045">
        <v>9.9969000000000001</v>
      </c>
      <c r="H1045" t="str">
        <f t="shared" si="17"/>
        <v>ok</v>
      </c>
    </row>
    <row r="1046" spans="1:8" x14ac:dyDescent="0.3">
      <c r="A1046" s="2">
        <v>46043</v>
      </c>
      <c r="B1046" t="s">
        <v>12</v>
      </c>
      <c r="C1046" t="s">
        <v>16</v>
      </c>
      <c r="D1046" t="s">
        <v>17</v>
      </c>
      <c r="E1046" t="s">
        <v>21</v>
      </c>
      <c r="F1046" t="s">
        <v>1066</v>
      </c>
      <c r="G1046">
        <v>10.0328</v>
      </c>
      <c r="H1046" t="str">
        <f t="shared" si="17"/>
        <v>ok</v>
      </c>
    </row>
    <row r="1047" spans="1:8" x14ac:dyDescent="0.3">
      <c r="A1047" s="2">
        <v>46043</v>
      </c>
      <c r="B1047" t="s">
        <v>12</v>
      </c>
      <c r="C1047" t="s">
        <v>8</v>
      </c>
      <c r="D1047" t="s">
        <v>17</v>
      </c>
      <c r="E1047" t="s">
        <v>10</v>
      </c>
      <c r="F1047" t="s">
        <v>1067</v>
      </c>
      <c r="G1047">
        <v>10.0099</v>
      </c>
      <c r="H1047" t="str">
        <f t="shared" si="17"/>
        <v>ok</v>
      </c>
    </row>
    <row r="1048" spans="1:8" x14ac:dyDescent="0.3">
      <c r="A1048" s="2">
        <v>46043</v>
      </c>
      <c r="B1048" t="s">
        <v>23</v>
      </c>
      <c r="C1048" t="s">
        <v>19</v>
      </c>
      <c r="D1048" t="s">
        <v>17</v>
      </c>
      <c r="E1048" t="s">
        <v>21</v>
      </c>
      <c r="F1048" t="s">
        <v>1068</v>
      </c>
      <c r="G1048">
        <v>10.001099999999999</v>
      </c>
      <c r="H1048" t="str">
        <f t="shared" si="17"/>
        <v>ok</v>
      </c>
    </row>
    <row r="1049" spans="1:8" x14ac:dyDescent="0.3">
      <c r="A1049" s="2">
        <v>46043</v>
      </c>
      <c r="B1049" t="s">
        <v>12</v>
      </c>
      <c r="C1049" t="s">
        <v>8</v>
      </c>
      <c r="D1049" t="s">
        <v>9</v>
      </c>
      <c r="E1049" t="s">
        <v>21</v>
      </c>
      <c r="F1049" t="s">
        <v>1069</v>
      </c>
      <c r="G1049">
        <v>9.9907000000000004</v>
      </c>
      <c r="H1049" t="str">
        <f t="shared" si="17"/>
        <v>ok</v>
      </c>
    </row>
    <row r="1050" spans="1:8" x14ac:dyDescent="0.3">
      <c r="A1050" s="2">
        <v>46043</v>
      </c>
      <c r="B1050" t="s">
        <v>7</v>
      </c>
      <c r="C1050" t="s">
        <v>19</v>
      </c>
      <c r="D1050" t="s">
        <v>17</v>
      </c>
      <c r="E1050" t="s">
        <v>21</v>
      </c>
      <c r="F1050" t="s">
        <v>1070</v>
      </c>
      <c r="G1050">
        <v>10.0175</v>
      </c>
      <c r="H1050" t="str">
        <f t="shared" si="17"/>
        <v>ok</v>
      </c>
    </row>
    <row r="1051" spans="1:8" x14ac:dyDescent="0.3">
      <c r="A1051" s="2">
        <v>46043</v>
      </c>
      <c r="B1051" t="s">
        <v>12</v>
      </c>
      <c r="C1051" t="s">
        <v>19</v>
      </c>
      <c r="D1051" t="s">
        <v>17</v>
      </c>
      <c r="E1051" t="s">
        <v>28</v>
      </c>
      <c r="F1051" t="s">
        <v>1071</v>
      </c>
      <c r="G1051">
        <v>10.0883</v>
      </c>
      <c r="H1051" t="str">
        <f t="shared" si="17"/>
        <v>ok</v>
      </c>
    </row>
    <row r="1052" spans="1:8" x14ac:dyDescent="0.3">
      <c r="A1052" s="2">
        <v>46044</v>
      </c>
      <c r="B1052" t="s">
        <v>7</v>
      </c>
      <c r="C1052" t="s">
        <v>8</v>
      </c>
      <c r="D1052" t="s">
        <v>34</v>
      </c>
      <c r="E1052" t="s">
        <v>14</v>
      </c>
      <c r="F1052" t="s">
        <v>1072</v>
      </c>
      <c r="G1052">
        <v>10.013</v>
      </c>
      <c r="H1052" t="str">
        <f t="shared" si="17"/>
        <v>ok</v>
      </c>
    </row>
    <row r="1053" spans="1:8" x14ac:dyDescent="0.3">
      <c r="A1053" s="2">
        <v>46044</v>
      </c>
      <c r="B1053" t="s">
        <v>23</v>
      </c>
      <c r="C1053" t="s">
        <v>8</v>
      </c>
      <c r="D1053" t="s">
        <v>17</v>
      </c>
      <c r="E1053" t="s">
        <v>28</v>
      </c>
      <c r="F1053" t="s">
        <v>1073</v>
      </c>
      <c r="G1053">
        <v>9.9733000000000001</v>
      </c>
      <c r="H1053" t="str">
        <f t="shared" si="17"/>
        <v>ok</v>
      </c>
    </row>
    <row r="1054" spans="1:8" x14ac:dyDescent="0.3">
      <c r="A1054" s="2">
        <v>46044</v>
      </c>
      <c r="B1054" t="s">
        <v>7</v>
      </c>
      <c r="C1054" t="s">
        <v>8</v>
      </c>
      <c r="D1054" t="s">
        <v>13</v>
      </c>
      <c r="E1054" t="s">
        <v>36</v>
      </c>
      <c r="F1054" t="s">
        <v>1074</v>
      </c>
      <c r="G1054">
        <v>9.9786999999999999</v>
      </c>
      <c r="H1054" t="str">
        <f t="shared" si="17"/>
        <v>ok</v>
      </c>
    </row>
    <row r="1055" spans="1:8" x14ac:dyDescent="0.3">
      <c r="A1055" s="2">
        <v>46044</v>
      </c>
      <c r="B1055" t="s">
        <v>7</v>
      </c>
      <c r="C1055" t="s">
        <v>8</v>
      </c>
      <c r="D1055" t="s">
        <v>13</v>
      </c>
      <c r="E1055" t="s">
        <v>28</v>
      </c>
      <c r="F1055" t="s">
        <v>1075</v>
      </c>
      <c r="G1055">
        <v>10.022</v>
      </c>
      <c r="H1055" t="str">
        <f t="shared" si="17"/>
        <v>ok</v>
      </c>
    </row>
    <row r="1056" spans="1:8" x14ac:dyDescent="0.3">
      <c r="A1056" s="2">
        <v>46044</v>
      </c>
      <c r="B1056" t="s">
        <v>12</v>
      </c>
      <c r="C1056" t="s">
        <v>8</v>
      </c>
      <c r="D1056" t="s">
        <v>9</v>
      </c>
      <c r="E1056" t="s">
        <v>28</v>
      </c>
      <c r="F1056" t="s">
        <v>1076</v>
      </c>
      <c r="G1056">
        <v>9.9984000000000002</v>
      </c>
      <c r="H1056" t="str">
        <f t="shared" si="17"/>
        <v>ok</v>
      </c>
    </row>
    <row r="1057" spans="1:8" x14ac:dyDescent="0.3">
      <c r="A1057" s="2">
        <v>46044</v>
      </c>
      <c r="B1057" t="s">
        <v>7</v>
      </c>
      <c r="C1057" t="s">
        <v>16</v>
      </c>
      <c r="D1057" t="s">
        <v>9</v>
      </c>
      <c r="E1057" t="s">
        <v>28</v>
      </c>
      <c r="F1057" t="s">
        <v>1077</v>
      </c>
      <c r="G1057">
        <v>10.0036</v>
      </c>
      <c r="H1057" t="str">
        <f t="shared" si="17"/>
        <v>ok</v>
      </c>
    </row>
    <row r="1058" spans="1:8" x14ac:dyDescent="0.3">
      <c r="A1058" s="2">
        <v>46044</v>
      </c>
      <c r="B1058" t="s">
        <v>12</v>
      </c>
      <c r="C1058" t="s">
        <v>19</v>
      </c>
      <c r="D1058" t="s">
        <v>9</v>
      </c>
      <c r="E1058" t="s">
        <v>21</v>
      </c>
      <c r="F1058" t="s">
        <v>1078</v>
      </c>
      <c r="G1058">
        <v>10.0113</v>
      </c>
      <c r="H1058" t="str">
        <f t="shared" si="17"/>
        <v>ok</v>
      </c>
    </row>
    <row r="1059" spans="1:8" x14ac:dyDescent="0.3">
      <c r="A1059" s="2">
        <v>46044</v>
      </c>
      <c r="B1059" t="s">
        <v>7</v>
      </c>
      <c r="C1059" t="s">
        <v>8</v>
      </c>
      <c r="D1059" t="s">
        <v>17</v>
      </c>
      <c r="E1059" t="s">
        <v>10</v>
      </c>
      <c r="F1059" t="s">
        <v>1079</v>
      </c>
      <c r="G1059">
        <v>10.0139</v>
      </c>
      <c r="H1059" t="str">
        <f t="shared" si="17"/>
        <v>ok</v>
      </c>
    </row>
    <row r="1060" spans="1:8" x14ac:dyDescent="0.3">
      <c r="A1060" s="2">
        <v>46044</v>
      </c>
      <c r="B1060" t="s">
        <v>23</v>
      </c>
      <c r="C1060" t="s">
        <v>16</v>
      </c>
      <c r="D1060" t="s">
        <v>17</v>
      </c>
      <c r="E1060" t="s">
        <v>36</v>
      </c>
      <c r="F1060" t="s">
        <v>1080</v>
      </c>
      <c r="G1060">
        <v>10.025</v>
      </c>
      <c r="H1060" t="str">
        <f t="shared" si="17"/>
        <v>ok</v>
      </c>
    </row>
    <row r="1061" spans="1:8" x14ac:dyDescent="0.3">
      <c r="A1061" s="2">
        <v>46044</v>
      </c>
      <c r="B1061" t="s">
        <v>7</v>
      </c>
      <c r="C1061" t="s">
        <v>16</v>
      </c>
      <c r="D1061" t="s">
        <v>9</v>
      </c>
      <c r="E1061" t="s">
        <v>14</v>
      </c>
      <c r="F1061" t="s">
        <v>1081</v>
      </c>
      <c r="G1061">
        <v>9.9984000000000002</v>
      </c>
      <c r="H1061" t="str">
        <f t="shared" si="17"/>
        <v>ok</v>
      </c>
    </row>
    <row r="1062" spans="1:8" x14ac:dyDescent="0.3">
      <c r="A1062" s="2">
        <v>46044</v>
      </c>
      <c r="B1062" t="s">
        <v>23</v>
      </c>
      <c r="C1062" t="s">
        <v>16</v>
      </c>
      <c r="D1062" t="s">
        <v>9</v>
      </c>
      <c r="E1062" t="s">
        <v>10</v>
      </c>
      <c r="F1062" t="s">
        <v>1082</v>
      </c>
      <c r="G1062">
        <v>9.9891000000000005</v>
      </c>
      <c r="H1062" t="str">
        <f t="shared" si="17"/>
        <v>ok</v>
      </c>
    </row>
    <row r="1063" spans="1:8" x14ac:dyDescent="0.3">
      <c r="A1063" s="2">
        <v>46044</v>
      </c>
      <c r="B1063" t="s">
        <v>12</v>
      </c>
      <c r="C1063" t="s">
        <v>16</v>
      </c>
      <c r="D1063" t="s">
        <v>34</v>
      </c>
      <c r="E1063" t="s">
        <v>28</v>
      </c>
      <c r="F1063" t="s">
        <v>1083</v>
      </c>
      <c r="G1063">
        <v>9.9989000000000008</v>
      </c>
      <c r="H1063" t="str">
        <f t="shared" si="17"/>
        <v>ok</v>
      </c>
    </row>
    <row r="1064" spans="1:8" x14ac:dyDescent="0.3">
      <c r="A1064" s="2">
        <v>46044</v>
      </c>
      <c r="B1064" t="s">
        <v>23</v>
      </c>
      <c r="C1064" t="s">
        <v>8</v>
      </c>
      <c r="D1064" t="s">
        <v>34</v>
      </c>
      <c r="E1064" t="s">
        <v>14</v>
      </c>
      <c r="F1064" t="s">
        <v>1084</v>
      </c>
      <c r="G1064">
        <v>9.9687000000000001</v>
      </c>
      <c r="H1064" t="str">
        <f t="shared" si="17"/>
        <v>ok</v>
      </c>
    </row>
    <row r="1065" spans="1:8" x14ac:dyDescent="0.3">
      <c r="A1065" s="2">
        <v>46044</v>
      </c>
      <c r="B1065" t="s">
        <v>12</v>
      </c>
      <c r="C1065" t="s">
        <v>8</v>
      </c>
      <c r="D1065" t="s">
        <v>17</v>
      </c>
      <c r="E1065" t="s">
        <v>36</v>
      </c>
      <c r="F1065" t="s">
        <v>1085</v>
      </c>
      <c r="G1065">
        <v>10.0017</v>
      </c>
      <c r="H1065" t="str">
        <f t="shared" si="17"/>
        <v>ok</v>
      </c>
    </row>
    <row r="1066" spans="1:8" x14ac:dyDescent="0.3">
      <c r="A1066" s="2">
        <v>46044</v>
      </c>
      <c r="B1066" t="s">
        <v>23</v>
      </c>
      <c r="C1066" t="s">
        <v>16</v>
      </c>
      <c r="D1066" t="s">
        <v>13</v>
      </c>
      <c r="E1066" t="s">
        <v>36</v>
      </c>
      <c r="F1066" t="s">
        <v>1086</v>
      </c>
      <c r="G1066">
        <v>10.0062</v>
      </c>
      <c r="H1066" t="str">
        <f t="shared" si="17"/>
        <v>ok</v>
      </c>
    </row>
    <row r="1067" spans="1:8" x14ac:dyDescent="0.3">
      <c r="A1067" s="2">
        <v>46044</v>
      </c>
      <c r="B1067" t="s">
        <v>12</v>
      </c>
      <c r="C1067" t="s">
        <v>16</v>
      </c>
      <c r="D1067" t="s">
        <v>17</v>
      </c>
      <c r="E1067" t="s">
        <v>36</v>
      </c>
      <c r="F1067" t="s">
        <v>1087</v>
      </c>
      <c r="G1067">
        <v>10.034599999999999</v>
      </c>
      <c r="H1067" t="str">
        <f t="shared" si="17"/>
        <v>ok</v>
      </c>
    </row>
    <row r="1068" spans="1:8" x14ac:dyDescent="0.3">
      <c r="A1068" s="2">
        <v>46044</v>
      </c>
      <c r="B1068" t="s">
        <v>12</v>
      </c>
      <c r="C1068" t="s">
        <v>19</v>
      </c>
      <c r="D1068" t="s">
        <v>9</v>
      </c>
      <c r="E1068" t="s">
        <v>10</v>
      </c>
      <c r="F1068" t="s">
        <v>1088</v>
      </c>
      <c r="G1068">
        <v>10.0107</v>
      </c>
      <c r="H1068" t="str">
        <f t="shared" si="17"/>
        <v>ok</v>
      </c>
    </row>
    <row r="1069" spans="1:8" x14ac:dyDescent="0.3">
      <c r="A1069" s="2">
        <v>46044</v>
      </c>
      <c r="B1069" t="s">
        <v>7</v>
      </c>
      <c r="C1069" t="s">
        <v>16</v>
      </c>
      <c r="D1069" t="s">
        <v>34</v>
      </c>
      <c r="E1069" t="s">
        <v>36</v>
      </c>
      <c r="F1069" t="s">
        <v>1089</v>
      </c>
      <c r="G1069">
        <v>10.019600000000001</v>
      </c>
      <c r="H1069" t="str">
        <f t="shared" si="17"/>
        <v>ok</v>
      </c>
    </row>
    <row r="1070" spans="1:8" x14ac:dyDescent="0.3">
      <c r="A1070" s="2">
        <v>46044</v>
      </c>
      <c r="B1070" t="s">
        <v>7</v>
      </c>
      <c r="C1070" t="s">
        <v>8</v>
      </c>
      <c r="D1070" t="s">
        <v>17</v>
      </c>
      <c r="E1070" t="s">
        <v>28</v>
      </c>
      <c r="F1070" t="s">
        <v>1090</v>
      </c>
      <c r="G1070">
        <v>9.9702000000000002</v>
      </c>
      <c r="H1070" t="str">
        <f t="shared" si="17"/>
        <v>ok</v>
      </c>
    </row>
    <row r="1071" spans="1:8" x14ac:dyDescent="0.3">
      <c r="A1071" s="2">
        <v>46044</v>
      </c>
      <c r="B1071" t="s">
        <v>23</v>
      </c>
      <c r="C1071" t="s">
        <v>8</v>
      </c>
      <c r="D1071" t="s">
        <v>34</v>
      </c>
      <c r="E1071" t="s">
        <v>28</v>
      </c>
      <c r="F1071" t="s">
        <v>1091</v>
      </c>
      <c r="G1071">
        <v>10.007300000000001</v>
      </c>
      <c r="H1071" t="str">
        <f t="shared" si="17"/>
        <v>ok</v>
      </c>
    </row>
    <row r="1072" spans="1:8" x14ac:dyDescent="0.3">
      <c r="A1072" s="2">
        <v>46044</v>
      </c>
      <c r="B1072" t="s">
        <v>12</v>
      </c>
      <c r="C1072" t="s">
        <v>16</v>
      </c>
      <c r="D1072" t="s">
        <v>34</v>
      </c>
      <c r="E1072" t="s">
        <v>36</v>
      </c>
      <c r="F1072" t="s">
        <v>1092</v>
      </c>
      <c r="G1072">
        <v>10.012600000000001</v>
      </c>
      <c r="H1072" t="str">
        <f t="shared" si="17"/>
        <v>ok</v>
      </c>
    </row>
    <row r="1073" spans="1:8" x14ac:dyDescent="0.3">
      <c r="A1073" s="2">
        <v>46044</v>
      </c>
      <c r="B1073" t="s">
        <v>12</v>
      </c>
      <c r="C1073" t="s">
        <v>19</v>
      </c>
      <c r="D1073" t="s">
        <v>34</v>
      </c>
      <c r="E1073" t="s">
        <v>21</v>
      </c>
      <c r="F1073" t="s">
        <v>1093</v>
      </c>
      <c r="G1073">
        <v>10.024100000000001</v>
      </c>
      <c r="H1073" t="str">
        <f t="shared" si="17"/>
        <v>ok</v>
      </c>
    </row>
    <row r="1074" spans="1:8" x14ac:dyDescent="0.3">
      <c r="A1074" s="2">
        <v>46044</v>
      </c>
      <c r="B1074" t="s">
        <v>23</v>
      </c>
      <c r="C1074" t="s">
        <v>19</v>
      </c>
      <c r="D1074" t="s">
        <v>17</v>
      </c>
      <c r="E1074" t="s">
        <v>36</v>
      </c>
      <c r="F1074" t="s">
        <v>1094</v>
      </c>
      <c r="G1074">
        <v>10.0101</v>
      </c>
      <c r="H1074" t="str">
        <f t="shared" si="17"/>
        <v>ok</v>
      </c>
    </row>
    <row r="1075" spans="1:8" x14ac:dyDescent="0.3">
      <c r="A1075" s="2">
        <v>46044</v>
      </c>
      <c r="B1075" t="s">
        <v>12</v>
      </c>
      <c r="C1075" t="s">
        <v>16</v>
      </c>
      <c r="D1075" t="s">
        <v>34</v>
      </c>
      <c r="E1075" t="s">
        <v>28</v>
      </c>
      <c r="F1075" t="s">
        <v>1095</v>
      </c>
      <c r="G1075">
        <v>10.0405</v>
      </c>
      <c r="H1075" t="str">
        <f t="shared" si="17"/>
        <v>ok</v>
      </c>
    </row>
    <row r="1076" spans="1:8" x14ac:dyDescent="0.3">
      <c r="A1076" s="2">
        <v>46044</v>
      </c>
      <c r="B1076" t="s">
        <v>23</v>
      </c>
      <c r="C1076" t="s">
        <v>19</v>
      </c>
      <c r="D1076" t="s">
        <v>34</v>
      </c>
      <c r="E1076" t="s">
        <v>21</v>
      </c>
      <c r="F1076" t="s">
        <v>1096</v>
      </c>
      <c r="G1076">
        <v>10.0219</v>
      </c>
      <c r="H1076" t="str">
        <f t="shared" si="17"/>
        <v>ok</v>
      </c>
    </row>
    <row r="1077" spans="1:8" x14ac:dyDescent="0.3">
      <c r="A1077" s="2">
        <v>46044</v>
      </c>
      <c r="B1077" t="s">
        <v>23</v>
      </c>
      <c r="C1077" t="s">
        <v>19</v>
      </c>
      <c r="D1077" t="s">
        <v>17</v>
      </c>
      <c r="E1077" t="s">
        <v>21</v>
      </c>
      <c r="F1077" t="s">
        <v>1097</v>
      </c>
      <c r="G1077">
        <v>9.9955999999999996</v>
      </c>
      <c r="H1077" t="str">
        <f t="shared" si="17"/>
        <v>ok</v>
      </c>
    </row>
    <row r="1078" spans="1:8" x14ac:dyDescent="0.3">
      <c r="A1078" s="2">
        <v>46044</v>
      </c>
      <c r="B1078" t="s">
        <v>23</v>
      </c>
      <c r="C1078" t="s">
        <v>16</v>
      </c>
      <c r="D1078" t="s">
        <v>13</v>
      </c>
      <c r="E1078" t="s">
        <v>21</v>
      </c>
      <c r="F1078" t="s">
        <v>1098</v>
      </c>
      <c r="G1078">
        <v>9.9930000000000003</v>
      </c>
      <c r="H1078" t="str">
        <f t="shared" si="17"/>
        <v>ok</v>
      </c>
    </row>
    <row r="1079" spans="1:8" x14ac:dyDescent="0.3">
      <c r="A1079" s="2">
        <v>46044</v>
      </c>
      <c r="B1079" t="s">
        <v>12</v>
      </c>
      <c r="C1079" t="s">
        <v>8</v>
      </c>
      <c r="D1079" t="s">
        <v>17</v>
      </c>
      <c r="E1079" t="s">
        <v>21</v>
      </c>
      <c r="F1079" t="s">
        <v>1099</v>
      </c>
      <c r="G1079">
        <v>10.026899999999999</v>
      </c>
      <c r="H1079" t="str">
        <f t="shared" si="17"/>
        <v>ok</v>
      </c>
    </row>
    <row r="1080" spans="1:8" x14ac:dyDescent="0.3">
      <c r="A1080" s="2">
        <v>46044</v>
      </c>
      <c r="B1080" t="s">
        <v>7</v>
      </c>
      <c r="C1080" t="s">
        <v>8</v>
      </c>
      <c r="D1080" t="s">
        <v>9</v>
      </c>
      <c r="E1080" t="s">
        <v>28</v>
      </c>
      <c r="F1080" t="s">
        <v>1100</v>
      </c>
      <c r="G1080">
        <v>9.9824999999999999</v>
      </c>
      <c r="H1080" t="str">
        <f t="shared" si="17"/>
        <v>ok</v>
      </c>
    </row>
    <row r="1081" spans="1:8" x14ac:dyDescent="0.3">
      <c r="A1081" s="2">
        <v>46044</v>
      </c>
      <c r="B1081" t="s">
        <v>7</v>
      </c>
      <c r="C1081" t="s">
        <v>16</v>
      </c>
      <c r="D1081" t="s">
        <v>13</v>
      </c>
      <c r="E1081" t="s">
        <v>14</v>
      </c>
      <c r="F1081" t="s">
        <v>1101</v>
      </c>
      <c r="G1081">
        <v>10.025700000000001</v>
      </c>
      <c r="H1081" t="str">
        <f t="shared" si="17"/>
        <v>ok</v>
      </c>
    </row>
    <row r="1082" spans="1:8" x14ac:dyDescent="0.3">
      <c r="A1082" s="2">
        <v>46044</v>
      </c>
      <c r="B1082" t="s">
        <v>12</v>
      </c>
      <c r="C1082" t="s">
        <v>8</v>
      </c>
      <c r="D1082" t="s">
        <v>17</v>
      </c>
      <c r="E1082" t="s">
        <v>21</v>
      </c>
      <c r="F1082" t="s">
        <v>1102</v>
      </c>
      <c r="G1082">
        <v>10.102399999999999</v>
      </c>
      <c r="H1082" t="str">
        <f t="shared" si="17"/>
        <v>ok</v>
      </c>
    </row>
    <row r="1083" spans="1:8" x14ac:dyDescent="0.3">
      <c r="A1083" s="2">
        <v>46044</v>
      </c>
      <c r="B1083" t="s">
        <v>7</v>
      </c>
      <c r="C1083" t="s">
        <v>8</v>
      </c>
      <c r="D1083" t="s">
        <v>34</v>
      </c>
      <c r="E1083" t="s">
        <v>14</v>
      </c>
      <c r="F1083" t="s">
        <v>1103</v>
      </c>
      <c r="G1083">
        <v>9.9871999999999996</v>
      </c>
      <c r="H1083" t="str">
        <f t="shared" si="17"/>
        <v>ok</v>
      </c>
    </row>
    <row r="1084" spans="1:8" x14ac:dyDescent="0.3">
      <c r="A1084" s="2">
        <v>46044</v>
      </c>
      <c r="B1084" t="s">
        <v>7</v>
      </c>
      <c r="C1084" t="s">
        <v>16</v>
      </c>
      <c r="D1084" t="s">
        <v>13</v>
      </c>
      <c r="E1084" t="s">
        <v>36</v>
      </c>
      <c r="F1084" t="s">
        <v>1104</v>
      </c>
      <c r="G1084">
        <v>9.9853000000000005</v>
      </c>
      <c r="H1084" t="str">
        <f t="shared" si="17"/>
        <v>ok</v>
      </c>
    </row>
    <row r="1085" spans="1:8" x14ac:dyDescent="0.3">
      <c r="A1085" s="2">
        <v>46044</v>
      </c>
      <c r="B1085" t="s">
        <v>12</v>
      </c>
      <c r="C1085" t="s">
        <v>8</v>
      </c>
      <c r="D1085" t="s">
        <v>9</v>
      </c>
      <c r="E1085" t="s">
        <v>36</v>
      </c>
      <c r="F1085" t="s">
        <v>1105</v>
      </c>
      <c r="G1085">
        <v>10.044</v>
      </c>
      <c r="H1085" t="str">
        <f t="shared" si="17"/>
        <v>ok</v>
      </c>
    </row>
    <row r="1086" spans="1:8" x14ac:dyDescent="0.3">
      <c r="A1086" s="2">
        <v>46044</v>
      </c>
      <c r="B1086" t="s">
        <v>7</v>
      </c>
      <c r="C1086" t="s">
        <v>16</v>
      </c>
      <c r="D1086" t="s">
        <v>34</v>
      </c>
      <c r="E1086" t="s">
        <v>21</v>
      </c>
      <c r="F1086" t="s">
        <v>1106</v>
      </c>
      <c r="G1086">
        <v>10.015599999999999</v>
      </c>
      <c r="H1086" t="str">
        <f t="shared" si="17"/>
        <v>ok</v>
      </c>
    </row>
    <row r="1087" spans="1:8" x14ac:dyDescent="0.3">
      <c r="A1087" s="2">
        <v>46044</v>
      </c>
      <c r="B1087" t="s">
        <v>12</v>
      </c>
      <c r="C1087" t="s">
        <v>16</v>
      </c>
      <c r="D1087" t="s">
        <v>9</v>
      </c>
      <c r="E1087" t="s">
        <v>10</v>
      </c>
      <c r="F1087" t="s">
        <v>1107</v>
      </c>
      <c r="G1087">
        <v>9.9957999999999991</v>
      </c>
      <c r="H1087" t="str">
        <f t="shared" si="17"/>
        <v>ok</v>
      </c>
    </row>
    <row r="1088" spans="1:8" x14ac:dyDescent="0.3">
      <c r="A1088" s="2">
        <v>46044</v>
      </c>
      <c r="B1088" t="s">
        <v>12</v>
      </c>
      <c r="C1088" t="s">
        <v>19</v>
      </c>
      <c r="D1088" t="s">
        <v>34</v>
      </c>
      <c r="E1088" t="s">
        <v>10</v>
      </c>
      <c r="F1088" t="s">
        <v>1108</v>
      </c>
      <c r="G1088">
        <v>10.012</v>
      </c>
      <c r="H1088" t="str">
        <f t="shared" si="17"/>
        <v>ok</v>
      </c>
    </row>
    <row r="1089" spans="1:8" x14ac:dyDescent="0.3">
      <c r="A1089" s="2">
        <v>46044</v>
      </c>
      <c r="B1089" t="s">
        <v>12</v>
      </c>
      <c r="C1089" t="s">
        <v>19</v>
      </c>
      <c r="D1089" t="s">
        <v>17</v>
      </c>
      <c r="E1089" t="s">
        <v>21</v>
      </c>
      <c r="F1089" t="s">
        <v>1109</v>
      </c>
      <c r="G1089">
        <v>10.026300000000001</v>
      </c>
      <c r="H1089" t="str">
        <f t="shared" si="17"/>
        <v>ok</v>
      </c>
    </row>
    <row r="1090" spans="1:8" x14ac:dyDescent="0.3">
      <c r="A1090" s="2">
        <v>46044</v>
      </c>
      <c r="B1090" t="s">
        <v>23</v>
      </c>
      <c r="C1090" t="s">
        <v>16</v>
      </c>
      <c r="D1090" t="s">
        <v>9</v>
      </c>
      <c r="E1090" t="s">
        <v>21</v>
      </c>
      <c r="F1090" t="s">
        <v>1110</v>
      </c>
      <c r="G1090">
        <v>10.0151</v>
      </c>
      <c r="H1090" t="str">
        <f t="shared" si="17"/>
        <v>ok</v>
      </c>
    </row>
    <row r="1091" spans="1:8" x14ac:dyDescent="0.3">
      <c r="A1091" s="2">
        <v>46044</v>
      </c>
      <c r="B1091" t="s">
        <v>12</v>
      </c>
      <c r="C1091" t="s">
        <v>16</v>
      </c>
      <c r="D1091" t="s">
        <v>17</v>
      </c>
      <c r="E1091" t="s">
        <v>28</v>
      </c>
      <c r="F1091" t="s">
        <v>1111</v>
      </c>
      <c r="G1091">
        <v>9.9905000000000008</v>
      </c>
      <c r="H1091" t="str">
        <f t="shared" si="17"/>
        <v>ok</v>
      </c>
    </row>
    <row r="1092" spans="1:8" x14ac:dyDescent="0.3">
      <c r="A1092" s="2">
        <v>46044</v>
      </c>
      <c r="B1092" t="s">
        <v>23</v>
      </c>
      <c r="C1092" t="s">
        <v>19</v>
      </c>
      <c r="D1092" t="s">
        <v>34</v>
      </c>
      <c r="E1092" t="s">
        <v>28</v>
      </c>
      <c r="F1092" t="s">
        <v>1112</v>
      </c>
      <c r="G1092">
        <v>9.9761000000000006</v>
      </c>
      <c r="H1092" t="str">
        <f t="shared" si="17"/>
        <v>ok</v>
      </c>
    </row>
    <row r="1093" spans="1:8" x14ac:dyDescent="0.3">
      <c r="A1093" s="2">
        <v>46044</v>
      </c>
      <c r="B1093" t="s">
        <v>23</v>
      </c>
      <c r="C1093" t="s">
        <v>19</v>
      </c>
      <c r="D1093" t="s">
        <v>34</v>
      </c>
      <c r="E1093" t="s">
        <v>36</v>
      </c>
      <c r="F1093" t="s">
        <v>1113</v>
      </c>
      <c r="G1093">
        <v>10.024699999999999</v>
      </c>
      <c r="H1093" t="str">
        <f t="shared" si="17"/>
        <v>ok</v>
      </c>
    </row>
    <row r="1094" spans="1:8" x14ac:dyDescent="0.3">
      <c r="A1094" s="2">
        <v>46044</v>
      </c>
      <c r="B1094" t="s">
        <v>23</v>
      </c>
      <c r="C1094" t="s">
        <v>8</v>
      </c>
      <c r="D1094" t="s">
        <v>13</v>
      </c>
      <c r="E1094" t="s">
        <v>36</v>
      </c>
      <c r="F1094" t="s">
        <v>1114</v>
      </c>
      <c r="G1094">
        <v>9.9873999999999992</v>
      </c>
      <c r="H1094" t="str">
        <f t="shared" ref="H1094:H1157" si="18">IF(OR(G1094&gt;10.5,G1094&lt;9.95),"Defect","ok")</f>
        <v>ok</v>
      </c>
    </row>
    <row r="1095" spans="1:8" x14ac:dyDescent="0.3">
      <c r="A1095" s="2">
        <v>46044</v>
      </c>
      <c r="B1095" t="s">
        <v>23</v>
      </c>
      <c r="C1095" t="s">
        <v>16</v>
      </c>
      <c r="D1095" t="s">
        <v>17</v>
      </c>
      <c r="E1095" t="s">
        <v>28</v>
      </c>
      <c r="F1095" t="s">
        <v>1115</v>
      </c>
      <c r="G1095">
        <v>10.0098</v>
      </c>
      <c r="H1095" t="str">
        <f t="shared" si="18"/>
        <v>ok</v>
      </c>
    </row>
    <row r="1096" spans="1:8" x14ac:dyDescent="0.3">
      <c r="A1096" s="2">
        <v>46044</v>
      </c>
      <c r="B1096" t="s">
        <v>23</v>
      </c>
      <c r="C1096" t="s">
        <v>19</v>
      </c>
      <c r="D1096" t="s">
        <v>13</v>
      </c>
      <c r="E1096" t="s">
        <v>14</v>
      </c>
      <c r="F1096" t="s">
        <v>1116</v>
      </c>
      <c r="G1096">
        <v>10.0243</v>
      </c>
      <c r="H1096" t="str">
        <f t="shared" si="18"/>
        <v>ok</v>
      </c>
    </row>
    <row r="1097" spans="1:8" x14ac:dyDescent="0.3">
      <c r="A1097" s="2">
        <v>46044</v>
      </c>
      <c r="B1097" t="s">
        <v>12</v>
      </c>
      <c r="C1097" t="s">
        <v>19</v>
      </c>
      <c r="D1097" t="s">
        <v>34</v>
      </c>
      <c r="E1097" t="s">
        <v>10</v>
      </c>
      <c r="F1097" t="s">
        <v>1117</v>
      </c>
      <c r="G1097">
        <v>10.037599999999999</v>
      </c>
      <c r="H1097" t="str">
        <f t="shared" si="18"/>
        <v>ok</v>
      </c>
    </row>
    <row r="1098" spans="1:8" x14ac:dyDescent="0.3">
      <c r="A1098" s="2">
        <v>46044</v>
      </c>
      <c r="B1098" t="s">
        <v>23</v>
      </c>
      <c r="C1098" t="s">
        <v>8</v>
      </c>
      <c r="D1098" t="s">
        <v>34</v>
      </c>
      <c r="E1098" t="s">
        <v>21</v>
      </c>
      <c r="F1098" t="s">
        <v>1118</v>
      </c>
      <c r="G1098">
        <v>9.9971999999999994</v>
      </c>
      <c r="H1098" t="str">
        <f t="shared" si="18"/>
        <v>ok</v>
      </c>
    </row>
    <row r="1099" spans="1:8" x14ac:dyDescent="0.3">
      <c r="A1099" s="2">
        <v>46044</v>
      </c>
      <c r="B1099" t="s">
        <v>23</v>
      </c>
      <c r="C1099" t="s">
        <v>19</v>
      </c>
      <c r="D1099" t="s">
        <v>17</v>
      </c>
      <c r="E1099" t="s">
        <v>28</v>
      </c>
      <c r="F1099" t="s">
        <v>1119</v>
      </c>
      <c r="G1099">
        <v>9.9992999999999999</v>
      </c>
      <c r="H1099" t="str">
        <f t="shared" si="18"/>
        <v>ok</v>
      </c>
    </row>
    <row r="1100" spans="1:8" x14ac:dyDescent="0.3">
      <c r="A1100" s="2">
        <v>46044</v>
      </c>
      <c r="B1100" t="s">
        <v>12</v>
      </c>
      <c r="C1100" t="s">
        <v>16</v>
      </c>
      <c r="D1100" t="s">
        <v>17</v>
      </c>
      <c r="E1100" t="s">
        <v>21</v>
      </c>
      <c r="F1100" t="s">
        <v>1120</v>
      </c>
      <c r="G1100">
        <v>10.0078</v>
      </c>
      <c r="H1100" t="str">
        <f t="shared" si="18"/>
        <v>ok</v>
      </c>
    </row>
    <row r="1101" spans="1:8" x14ac:dyDescent="0.3">
      <c r="A1101" s="2">
        <v>46044</v>
      </c>
      <c r="B1101" t="s">
        <v>23</v>
      </c>
      <c r="C1101" t="s">
        <v>16</v>
      </c>
      <c r="D1101" t="s">
        <v>9</v>
      </c>
      <c r="E1101" t="s">
        <v>10</v>
      </c>
      <c r="F1101" t="s">
        <v>1121</v>
      </c>
      <c r="G1101">
        <v>10.019299999999999</v>
      </c>
      <c r="H1101" t="str">
        <f t="shared" si="18"/>
        <v>ok</v>
      </c>
    </row>
    <row r="1102" spans="1:8" x14ac:dyDescent="0.3">
      <c r="A1102" s="2">
        <v>46045</v>
      </c>
      <c r="B1102" t="s">
        <v>23</v>
      </c>
      <c r="C1102" t="s">
        <v>8</v>
      </c>
      <c r="D1102" t="s">
        <v>13</v>
      </c>
      <c r="E1102" t="s">
        <v>28</v>
      </c>
      <c r="F1102" t="s">
        <v>1122</v>
      </c>
      <c r="G1102">
        <v>10.014900000000001</v>
      </c>
      <c r="H1102" t="str">
        <f t="shared" si="18"/>
        <v>ok</v>
      </c>
    </row>
    <row r="1103" spans="1:8" x14ac:dyDescent="0.3">
      <c r="A1103" s="2">
        <v>46045</v>
      </c>
      <c r="B1103" t="s">
        <v>23</v>
      </c>
      <c r="C1103" t="s">
        <v>16</v>
      </c>
      <c r="D1103" t="s">
        <v>13</v>
      </c>
      <c r="E1103" t="s">
        <v>14</v>
      </c>
      <c r="F1103" t="s">
        <v>1123</v>
      </c>
      <c r="G1103">
        <v>9.9983000000000004</v>
      </c>
      <c r="H1103" t="str">
        <f t="shared" si="18"/>
        <v>ok</v>
      </c>
    </row>
    <row r="1104" spans="1:8" x14ac:dyDescent="0.3">
      <c r="A1104" s="2">
        <v>46045</v>
      </c>
      <c r="B1104" t="s">
        <v>12</v>
      </c>
      <c r="C1104" t="s">
        <v>8</v>
      </c>
      <c r="D1104" t="s">
        <v>9</v>
      </c>
      <c r="E1104" t="s">
        <v>28</v>
      </c>
      <c r="F1104" t="s">
        <v>1124</v>
      </c>
      <c r="G1104">
        <v>10.031599999999999</v>
      </c>
      <c r="H1104" t="str">
        <f t="shared" si="18"/>
        <v>ok</v>
      </c>
    </row>
    <row r="1105" spans="1:8" x14ac:dyDescent="0.3">
      <c r="A1105" s="2">
        <v>46045</v>
      </c>
      <c r="B1105" t="s">
        <v>23</v>
      </c>
      <c r="C1105" t="s">
        <v>8</v>
      </c>
      <c r="D1105" t="s">
        <v>13</v>
      </c>
      <c r="E1105" t="s">
        <v>10</v>
      </c>
      <c r="F1105" t="s">
        <v>1125</v>
      </c>
      <c r="G1105">
        <v>10.0108</v>
      </c>
      <c r="H1105" t="str">
        <f t="shared" si="18"/>
        <v>ok</v>
      </c>
    </row>
    <row r="1106" spans="1:8" x14ac:dyDescent="0.3">
      <c r="A1106" s="2">
        <v>46045</v>
      </c>
      <c r="B1106" t="s">
        <v>12</v>
      </c>
      <c r="C1106" t="s">
        <v>16</v>
      </c>
      <c r="D1106" t="s">
        <v>13</v>
      </c>
      <c r="E1106" t="s">
        <v>10</v>
      </c>
      <c r="F1106" t="s">
        <v>1126</v>
      </c>
      <c r="G1106">
        <v>9.9923999999999999</v>
      </c>
      <c r="H1106" t="str">
        <f t="shared" si="18"/>
        <v>ok</v>
      </c>
    </row>
    <row r="1107" spans="1:8" x14ac:dyDescent="0.3">
      <c r="A1107" s="2">
        <v>46045</v>
      </c>
      <c r="B1107" t="s">
        <v>7</v>
      </c>
      <c r="C1107" t="s">
        <v>19</v>
      </c>
      <c r="D1107" t="s">
        <v>17</v>
      </c>
      <c r="E1107" t="s">
        <v>36</v>
      </c>
      <c r="F1107" t="s">
        <v>1127</v>
      </c>
      <c r="G1107">
        <v>10.015599999999999</v>
      </c>
      <c r="H1107" t="str">
        <f t="shared" si="18"/>
        <v>ok</v>
      </c>
    </row>
    <row r="1108" spans="1:8" x14ac:dyDescent="0.3">
      <c r="A1108" s="2">
        <v>46045</v>
      </c>
      <c r="B1108" t="s">
        <v>23</v>
      </c>
      <c r="C1108" t="s">
        <v>8</v>
      </c>
      <c r="D1108" t="s">
        <v>34</v>
      </c>
      <c r="E1108" t="s">
        <v>36</v>
      </c>
      <c r="F1108" t="s">
        <v>1128</v>
      </c>
      <c r="G1108">
        <v>9.9911999999999992</v>
      </c>
      <c r="H1108" t="str">
        <f t="shared" si="18"/>
        <v>ok</v>
      </c>
    </row>
    <row r="1109" spans="1:8" x14ac:dyDescent="0.3">
      <c r="A1109" s="2">
        <v>46045</v>
      </c>
      <c r="B1109" t="s">
        <v>12</v>
      </c>
      <c r="C1109" t="s">
        <v>16</v>
      </c>
      <c r="D1109" t="s">
        <v>9</v>
      </c>
      <c r="E1109" t="s">
        <v>28</v>
      </c>
      <c r="F1109" t="s">
        <v>1129</v>
      </c>
      <c r="G1109">
        <v>10.0044</v>
      </c>
      <c r="H1109" t="str">
        <f t="shared" si="18"/>
        <v>ok</v>
      </c>
    </row>
    <row r="1110" spans="1:8" x14ac:dyDescent="0.3">
      <c r="A1110" s="2">
        <v>46045</v>
      </c>
      <c r="B1110" t="s">
        <v>7</v>
      </c>
      <c r="C1110" t="s">
        <v>19</v>
      </c>
      <c r="D1110" t="s">
        <v>9</v>
      </c>
      <c r="E1110" t="s">
        <v>10</v>
      </c>
      <c r="F1110" t="s">
        <v>1130</v>
      </c>
      <c r="G1110">
        <v>10.0282</v>
      </c>
      <c r="H1110" t="str">
        <f t="shared" si="18"/>
        <v>ok</v>
      </c>
    </row>
    <row r="1111" spans="1:8" x14ac:dyDescent="0.3">
      <c r="A1111" s="2">
        <v>46045</v>
      </c>
      <c r="B1111" t="s">
        <v>23</v>
      </c>
      <c r="C1111" t="s">
        <v>19</v>
      </c>
      <c r="D1111" t="s">
        <v>34</v>
      </c>
      <c r="E1111" t="s">
        <v>10</v>
      </c>
      <c r="F1111" t="s">
        <v>1131</v>
      </c>
      <c r="G1111">
        <v>10.0184</v>
      </c>
      <c r="H1111" t="str">
        <f t="shared" si="18"/>
        <v>ok</v>
      </c>
    </row>
    <row r="1112" spans="1:8" x14ac:dyDescent="0.3">
      <c r="A1112" s="2">
        <v>46045</v>
      </c>
      <c r="B1112" t="s">
        <v>23</v>
      </c>
      <c r="C1112" t="s">
        <v>8</v>
      </c>
      <c r="D1112" t="s">
        <v>34</v>
      </c>
      <c r="E1112" t="s">
        <v>10</v>
      </c>
      <c r="F1112" t="s">
        <v>1132</v>
      </c>
      <c r="G1112">
        <v>9.9928000000000008</v>
      </c>
      <c r="H1112" t="str">
        <f t="shared" si="18"/>
        <v>ok</v>
      </c>
    </row>
    <row r="1113" spans="1:8" x14ac:dyDescent="0.3">
      <c r="A1113" s="2">
        <v>46045</v>
      </c>
      <c r="B1113" t="s">
        <v>12</v>
      </c>
      <c r="C1113" t="s">
        <v>8</v>
      </c>
      <c r="D1113" t="s">
        <v>34</v>
      </c>
      <c r="E1113" t="s">
        <v>36</v>
      </c>
      <c r="F1113" t="s">
        <v>1133</v>
      </c>
      <c r="G1113">
        <v>10.0044</v>
      </c>
      <c r="H1113" t="str">
        <f t="shared" si="18"/>
        <v>ok</v>
      </c>
    </row>
    <row r="1114" spans="1:8" x14ac:dyDescent="0.3">
      <c r="A1114" s="2">
        <v>46045</v>
      </c>
      <c r="B1114" t="s">
        <v>7</v>
      </c>
      <c r="C1114" t="s">
        <v>8</v>
      </c>
      <c r="D1114" t="s">
        <v>17</v>
      </c>
      <c r="E1114" t="s">
        <v>21</v>
      </c>
      <c r="F1114" t="s">
        <v>1134</v>
      </c>
      <c r="G1114">
        <v>10.0108</v>
      </c>
      <c r="H1114" t="str">
        <f t="shared" si="18"/>
        <v>ok</v>
      </c>
    </row>
    <row r="1115" spans="1:8" x14ac:dyDescent="0.3">
      <c r="A1115" s="2">
        <v>46045</v>
      </c>
      <c r="B1115" t="s">
        <v>7</v>
      </c>
      <c r="C1115" t="s">
        <v>19</v>
      </c>
      <c r="D1115" t="s">
        <v>34</v>
      </c>
      <c r="E1115" t="s">
        <v>10</v>
      </c>
      <c r="F1115" t="s">
        <v>1135</v>
      </c>
      <c r="G1115">
        <v>10.0145</v>
      </c>
      <c r="H1115" t="str">
        <f t="shared" si="18"/>
        <v>ok</v>
      </c>
    </row>
    <row r="1116" spans="1:8" x14ac:dyDescent="0.3">
      <c r="A1116" s="2">
        <v>46045</v>
      </c>
      <c r="B1116" t="s">
        <v>23</v>
      </c>
      <c r="C1116" t="s">
        <v>16</v>
      </c>
      <c r="D1116" t="s">
        <v>13</v>
      </c>
      <c r="E1116" t="s">
        <v>28</v>
      </c>
      <c r="F1116" t="s">
        <v>1136</v>
      </c>
      <c r="G1116">
        <v>9.9829000000000008</v>
      </c>
      <c r="H1116" t="str">
        <f t="shared" si="18"/>
        <v>ok</v>
      </c>
    </row>
    <row r="1117" spans="1:8" x14ac:dyDescent="0.3">
      <c r="A1117" s="2">
        <v>46045</v>
      </c>
      <c r="B1117" t="s">
        <v>12</v>
      </c>
      <c r="C1117" t="s">
        <v>16</v>
      </c>
      <c r="D1117" t="s">
        <v>13</v>
      </c>
      <c r="E1117" t="s">
        <v>21</v>
      </c>
      <c r="F1117" t="s">
        <v>1137</v>
      </c>
      <c r="G1117">
        <v>10.0252</v>
      </c>
      <c r="H1117" t="str">
        <f t="shared" si="18"/>
        <v>ok</v>
      </c>
    </row>
    <row r="1118" spans="1:8" x14ac:dyDescent="0.3">
      <c r="A1118" s="2">
        <v>46045</v>
      </c>
      <c r="B1118" t="s">
        <v>7</v>
      </c>
      <c r="C1118" t="s">
        <v>16</v>
      </c>
      <c r="D1118" t="s">
        <v>17</v>
      </c>
      <c r="E1118" t="s">
        <v>36</v>
      </c>
      <c r="F1118" t="s">
        <v>1138</v>
      </c>
      <c r="G1118">
        <v>10.0146</v>
      </c>
      <c r="H1118" t="str">
        <f t="shared" si="18"/>
        <v>ok</v>
      </c>
    </row>
    <row r="1119" spans="1:8" x14ac:dyDescent="0.3">
      <c r="A1119" s="2">
        <v>46045</v>
      </c>
      <c r="B1119" t="s">
        <v>7</v>
      </c>
      <c r="C1119" t="s">
        <v>19</v>
      </c>
      <c r="D1119" t="s">
        <v>17</v>
      </c>
      <c r="E1119" t="s">
        <v>28</v>
      </c>
      <c r="F1119" t="s">
        <v>1139</v>
      </c>
      <c r="G1119">
        <v>9.9446999999999992</v>
      </c>
      <c r="H1119" t="str">
        <f t="shared" si="18"/>
        <v>Defect</v>
      </c>
    </row>
    <row r="1120" spans="1:8" x14ac:dyDescent="0.3">
      <c r="A1120" s="2">
        <v>46045</v>
      </c>
      <c r="B1120" t="s">
        <v>7</v>
      </c>
      <c r="C1120" t="s">
        <v>8</v>
      </c>
      <c r="D1120" t="s">
        <v>9</v>
      </c>
      <c r="E1120" t="s">
        <v>21</v>
      </c>
      <c r="F1120" t="s">
        <v>1140</v>
      </c>
      <c r="G1120">
        <v>9.9968000000000004</v>
      </c>
      <c r="H1120" t="str">
        <f t="shared" si="18"/>
        <v>ok</v>
      </c>
    </row>
    <row r="1121" spans="1:8" x14ac:dyDescent="0.3">
      <c r="A1121" s="2">
        <v>46045</v>
      </c>
      <c r="B1121" t="s">
        <v>12</v>
      </c>
      <c r="C1121" t="s">
        <v>8</v>
      </c>
      <c r="D1121" t="s">
        <v>9</v>
      </c>
      <c r="E1121" t="s">
        <v>10</v>
      </c>
      <c r="F1121" t="s">
        <v>1141</v>
      </c>
      <c r="G1121">
        <v>10.004200000000001</v>
      </c>
      <c r="H1121" t="str">
        <f t="shared" si="18"/>
        <v>ok</v>
      </c>
    </row>
    <row r="1122" spans="1:8" x14ac:dyDescent="0.3">
      <c r="A1122" s="2">
        <v>46045</v>
      </c>
      <c r="B1122" t="s">
        <v>12</v>
      </c>
      <c r="C1122" t="s">
        <v>8</v>
      </c>
      <c r="D1122" t="s">
        <v>34</v>
      </c>
      <c r="E1122" t="s">
        <v>14</v>
      </c>
      <c r="F1122" t="s">
        <v>1142</v>
      </c>
      <c r="G1122">
        <v>9.9543999999999997</v>
      </c>
      <c r="H1122" t="str">
        <f t="shared" si="18"/>
        <v>ok</v>
      </c>
    </row>
    <row r="1123" spans="1:8" x14ac:dyDescent="0.3">
      <c r="A1123" s="2">
        <v>46045</v>
      </c>
      <c r="B1123" t="s">
        <v>7</v>
      </c>
      <c r="C1123" t="s">
        <v>16</v>
      </c>
      <c r="D1123" t="s">
        <v>9</v>
      </c>
      <c r="E1123" t="s">
        <v>28</v>
      </c>
      <c r="F1123" t="s">
        <v>1143</v>
      </c>
      <c r="G1123">
        <v>10.016999999999999</v>
      </c>
      <c r="H1123" t="str">
        <f t="shared" si="18"/>
        <v>ok</v>
      </c>
    </row>
    <row r="1124" spans="1:8" x14ac:dyDescent="0.3">
      <c r="A1124" s="2">
        <v>46045</v>
      </c>
      <c r="B1124" t="s">
        <v>23</v>
      </c>
      <c r="C1124" t="s">
        <v>16</v>
      </c>
      <c r="D1124" t="s">
        <v>17</v>
      </c>
      <c r="E1124" t="s">
        <v>21</v>
      </c>
      <c r="F1124" t="s">
        <v>1144</v>
      </c>
      <c r="G1124">
        <v>9.9938000000000002</v>
      </c>
      <c r="H1124" t="str">
        <f t="shared" si="18"/>
        <v>ok</v>
      </c>
    </row>
    <row r="1125" spans="1:8" x14ac:dyDescent="0.3">
      <c r="A1125" s="2">
        <v>46045</v>
      </c>
      <c r="B1125" t="s">
        <v>23</v>
      </c>
      <c r="C1125" t="s">
        <v>16</v>
      </c>
      <c r="D1125" t="s">
        <v>17</v>
      </c>
      <c r="E1125" t="s">
        <v>36</v>
      </c>
      <c r="F1125" t="s">
        <v>1145</v>
      </c>
      <c r="G1125">
        <v>9.9854000000000003</v>
      </c>
      <c r="H1125" t="str">
        <f t="shared" si="18"/>
        <v>ok</v>
      </c>
    </row>
    <row r="1126" spans="1:8" x14ac:dyDescent="0.3">
      <c r="A1126" s="2">
        <v>46045</v>
      </c>
      <c r="B1126" t="s">
        <v>7</v>
      </c>
      <c r="C1126" t="s">
        <v>16</v>
      </c>
      <c r="D1126" t="s">
        <v>17</v>
      </c>
      <c r="E1126" t="s">
        <v>21</v>
      </c>
      <c r="F1126" t="s">
        <v>1146</v>
      </c>
      <c r="G1126">
        <v>10.006600000000001</v>
      </c>
      <c r="H1126" t="str">
        <f t="shared" si="18"/>
        <v>ok</v>
      </c>
    </row>
    <row r="1127" spans="1:8" x14ac:dyDescent="0.3">
      <c r="A1127" s="2">
        <v>46045</v>
      </c>
      <c r="B1127" t="s">
        <v>12</v>
      </c>
      <c r="C1127" t="s">
        <v>16</v>
      </c>
      <c r="D1127" t="s">
        <v>17</v>
      </c>
      <c r="E1127" t="s">
        <v>36</v>
      </c>
      <c r="F1127" t="s">
        <v>1147</v>
      </c>
      <c r="G1127">
        <v>10.0312</v>
      </c>
      <c r="H1127" t="str">
        <f t="shared" si="18"/>
        <v>ok</v>
      </c>
    </row>
    <row r="1128" spans="1:8" x14ac:dyDescent="0.3">
      <c r="A1128" s="2">
        <v>46045</v>
      </c>
      <c r="B1128" t="s">
        <v>12</v>
      </c>
      <c r="C1128" t="s">
        <v>8</v>
      </c>
      <c r="D1128" t="s">
        <v>34</v>
      </c>
      <c r="E1128" t="s">
        <v>28</v>
      </c>
      <c r="F1128" t="s">
        <v>1148</v>
      </c>
      <c r="G1128">
        <v>9.9946999999999999</v>
      </c>
      <c r="H1128" t="str">
        <f t="shared" si="18"/>
        <v>ok</v>
      </c>
    </row>
    <row r="1129" spans="1:8" x14ac:dyDescent="0.3">
      <c r="A1129" s="2">
        <v>46045</v>
      </c>
      <c r="B1129" t="s">
        <v>23</v>
      </c>
      <c r="C1129" t="s">
        <v>8</v>
      </c>
      <c r="D1129" t="s">
        <v>13</v>
      </c>
      <c r="E1129" t="s">
        <v>14</v>
      </c>
      <c r="F1129" t="s">
        <v>1149</v>
      </c>
      <c r="G1129">
        <v>9.9910999999999994</v>
      </c>
      <c r="H1129" t="str">
        <f t="shared" si="18"/>
        <v>ok</v>
      </c>
    </row>
    <row r="1130" spans="1:8" x14ac:dyDescent="0.3">
      <c r="A1130" s="2">
        <v>46045</v>
      </c>
      <c r="B1130" t="s">
        <v>7</v>
      </c>
      <c r="C1130" t="s">
        <v>16</v>
      </c>
      <c r="D1130" t="s">
        <v>34</v>
      </c>
      <c r="E1130" t="s">
        <v>10</v>
      </c>
      <c r="F1130" t="s">
        <v>1150</v>
      </c>
      <c r="G1130">
        <v>9.9614999999999991</v>
      </c>
      <c r="H1130" t="str">
        <f t="shared" si="18"/>
        <v>ok</v>
      </c>
    </row>
    <row r="1131" spans="1:8" x14ac:dyDescent="0.3">
      <c r="A1131" s="2">
        <v>46045</v>
      </c>
      <c r="B1131" t="s">
        <v>12</v>
      </c>
      <c r="C1131" t="s">
        <v>16</v>
      </c>
      <c r="D1131" t="s">
        <v>34</v>
      </c>
      <c r="E1131" t="s">
        <v>21</v>
      </c>
      <c r="F1131" t="s">
        <v>1151</v>
      </c>
      <c r="G1131">
        <v>9.9369999999999994</v>
      </c>
      <c r="H1131" t="str">
        <f t="shared" si="18"/>
        <v>Defect</v>
      </c>
    </row>
    <row r="1132" spans="1:8" x14ac:dyDescent="0.3">
      <c r="A1132" s="2">
        <v>46045</v>
      </c>
      <c r="B1132" t="s">
        <v>23</v>
      </c>
      <c r="C1132" t="s">
        <v>8</v>
      </c>
      <c r="D1132" t="s">
        <v>34</v>
      </c>
      <c r="E1132" t="s">
        <v>14</v>
      </c>
      <c r="F1132" t="s">
        <v>1152</v>
      </c>
      <c r="G1132">
        <v>9.9755000000000003</v>
      </c>
      <c r="H1132" t="str">
        <f t="shared" si="18"/>
        <v>ok</v>
      </c>
    </row>
    <row r="1133" spans="1:8" x14ac:dyDescent="0.3">
      <c r="A1133" s="2">
        <v>46045</v>
      </c>
      <c r="B1133" t="s">
        <v>7</v>
      </c>
      <c r="C1133" t="s">
        <v>16</v>
      </c>
      <c r="D1133" t="s">
        <v>13</v>
      </c>
      <c r="E1133" t="s">
        <v>14</v>
      </c>
      <c r="F1133" t="s">
        <v>1153</v>
      </c>
      <c r="G1133">
        <v>10.007300000000001</v>
      </c>
      <c r="H1133" t="str">
        <f t="shared" si="18"/>
        <v>ok</v>
      </c>
    </row>
    <row r="1134" spans="1:8" x14ac:dyDescent="0.3">
      <c r="A1134" s="2">
        <v>46045</v>
      </c>
      <c r="B1134" t="s">
        <v>7</v>
      </c>
      <c r="C1134" t="s">
        <v>19</v>
      </c>
      <c r="D1134" t="s">
        <v>17</v>
      </c>
      <c r="E1134" t="s">
        <v>36</v>
      </c>
      <c r="F1134" t="s">
        <v>1154</v>
      </c>
      <c r="G1134">
        <v>10.007999999999999</v>
      </c>
      <c r="H1134" t="str">
        <f t="shared" si="18"/>
        <v>ok</v>
      </c>
    </row>
    <row r="1135" spans="1:8" x14ac:dyDescent="0.3">
      <c r="A1135" s="2">
        <v>46045</v>
      </c>
      <c r="B1135" t="s">
        <v>12</v>
      </c>
      <c r="C1135" t="s">
        <v>16</v>
      </c>
      <c r="D1135" t="s">
        <v>13</v>
      </c>
      <c r="E1135" t="s">
        <v>28</v>
      </c>
      <c r="F1135" t="s">
        <v>1155</v>
      </c>
      <c r="G1135">
        <v>10.0274</v>
      </c>
      <c r="H1135" t="str">
        <f t="shared" si="18"/>
        <v>ok</v>
      </c>
    </row>
    <row r="1136" spans="1:8" x14ac:dyDescent="0.3">
      <c r="A1136" s="2">
        <v>46045</v>
      </c>
      <c r="B1136" t="s">
        <v>23</v>
      </c>
      <c r="C1136" t="s">
        <v>19</v>
      </c>
      <c r="D1136" t="s">
        <v>9</v>
      </c>
      <c r="E1136" t="s">
        <v>10</v>
      </c>
      <c r="F1136" t="s">
        <v>1156</v>
      </c>
      <c r="G1136">
        <v>9.9939999999999998</v>
      </c>
      <c r="H1136" t="str">
        <f t="shared" si="18"/>
        <v>ok</v>
      </c>
    </row>
    <row r="1137" spans="1:8" x14ac:dyDescent="0.3">
      <c r="A1137" s="2">
        <v>46045</v>
      </c>
      <c r="B1137" t="s">
        <v>7</v>
      </c>
      <c r="C1137" t="s">
        <v>8</v>
      </c>
      <c r="D1137" t="s">
        <v>17</v>
      </c>
      <c r="E1137" t="s">
        <v>21</v>
      </c>
      <c r="F1137" t="s">
        <v>1157</v>
      </c>
      <c r="G1137">
        <v>9.9837000000000007</v>
      </c>
      <c r="H1137" t="str">
        <f t="shared" si="18"/>
        <v>ok</v>
      </c>
    </row>
    <row r="1138" spans="1:8" x14ac:dyDescent="0.3">
      <c r="A1138" s="2">
        <v>46045</v>
      </c>
      <c r="B1138" t="s">
        <v>12</v>
      </c>
      <c r="C1138" t="s">
        <v>16</v>
      </c>
      <c r="D1138" t="s">
        <v>17</v>
      </c>
      <c r="E1138" t="s">
        <v>10</v>
      </c>
      <c r="F1138" t="s">
        <v>1158</v>
      </c>
      <c r="G1138">
        <v>10.006500000000001</v>
      </c>
      <c r="H1138" t="str">
        <f t="shared" si="18"/>
        <v>ok</v>
      </c>
    </row>
    <row r="1139" spans="1:8" x14ac:dyDescent="0.3">
      <c r="A1139" s="2">
        <v>46045</v>
      </c>
      <c r="B1139" t="s">
        <v>23</v>
      </c>
      <c r="C1139" t="s">
        <v>19</v>
      </c>
      <c r="D1139" t="s">
        <v>17</v>
      </c>
      <c r="E1139" t="s">
        <v>21</v>
      </c>
      <c r="F1139" t="s">
        <v>1159</v>
      </c>
      <c r="G1139">
        <v>10.0303</v>
      </c>
      <c r="H1139" t="str">
        <f t="shared" si="18"/>
        <v>ok</v>
      </c>
    </row>
    <row r="1140" spans="1:8" x14ac:dyDescent="0.3">
      <c r="A1140" s="2">
        <v>46045</v>
      </c>
      <c r="B1140" t="s">
        <v>23</v>
      </c>
      <c r="C1140" t="s">
        <v>16</v>
      </c>
      <c r="D1140" t="s">
        <v>34</v>
      </c>
      <c r="E1140" t="s">
        <v>21</v>
      </c>
      <c r="F1140" t="s">
        <v>1160</v>
      </c>
      <c r="G1140">
        <v>10.0006</v>
      </c>
      <c r="H1140" t="str">
        <f t="shared" si="18"/>
        <v>ok</v>
      </c>
    </row>
    <row r="1141" spans="1:8" x14ac:dyDescent="0.3">
      <c r="A1141" s="2">
        <v>46045</v>
      </c>
      <c r="B1141" t="s">
        <v>23</v>
      </c>
      <c r="C1141" t="s">
        <v>8</v>
      </c>
      <c r="D1141" t="s">
        <v>13</v>
      </c>
      <c r="E1141" t="s">
        <v>36</v>
      </c>
      <c r="F1141" t="s">
        <v>1161</v>
      </c>
      <c r="G1141">
        <v>9.9829000000000008</v>
      </c>
      <c r="H1141" t="str">
        <f t="shared" si="18"/>
        <v>ok</v>
      </c>
    </row>
    <row r="1142" spans="1:8" x14ac:dyDescent="0.3">
      <c r="A1142" s="2">
        <v>46045</v>
      </c>
      <c r="B1142" t="s">
        <v>23</v>
      </c>
      <c r="C1142" t="s">
        <v>16</v>
      </c>
      <c r="D1142" t="s">
        <v>17</v>
      </c>
      <c r="E1142" t="s">
        <v>14</v>
      </c>
      <c r="F1142" t="s">
        <v>1162</v>
      </c>
      <c r="G1142">
        <v>10.0053</v>
      </c>
      <c r="H1142" t="str">
        <f t="shared" si="18"/>
        <v>ok</v>
      </c>
    </row>
    <row r="1143" spans="1:8" x14ac:dyDescent="0.3">
      <c r="A1143" s="2">
        <v>46045</v>
      </c>
      <c r="B1143" t="s">
        <v>7</v>
      </c>
      <c r="C1143" t="s">
        <v>8</v>
      </c>
      <c r="D1143" t="s">
        <v>9</v>
      </c>
      <c r="E1143" t="s">
        <v>14</v>
      </c>
      <c r="F1143" t="s">
        <v>1163</v>
      </c>
      <c r="G1143">
        <v>9.9968000000000004</v>
      </c>
      <c r="H1143" t="str">
        <f t="shared" si="18"/>
        <v>ok</v>
      </c>
    </row>
    <row r="1144" spans="1:8" x14ac:dyDescent="0.3">
      <c r="A1144" s="2">
        <v>46045</v>
      </c>
      <c r="B1144" t="s">
        <v>7</v>
      </c>
      <c r="C1144" t="s">
        <v>16</v>
      </c>
      <c r="D1144" t="s">
        <v>34</v>
      </c>
      <c r="E1144" t="s">
        <v>10</v>
      </c>
      <c r="F1144" t="s">
        <v>1164</v>
      </c>
      <c r="G1144">
        <v>9.9946999999999999</v>
      </c>
      <c r="H1144" t="str">
        <f t="shared" si="18"/>
        <v>ok</v>
      </c>
    </row>
    <row r="1145" spans="1:8" x14ac:dyDescent="0.3">
      <c r="A1145" s="2">
        <v>46045</v>
      </c>
      <c r="B1145" t="s">
        <v>12</v>
      </c>
      <c r="C1145" t="s">
        <v>19</v>
      </c>
      <c r="D1145" t="s">
        <v>13</v>
      </c>
      <c r="E1145" t="s">
        <v>10</v>
      </c>
      <c r="F1145" t="s">
        <v>1165</v>
      </c>
      <c r="G1145">
        <v>10.024699999999999</v>
      </c>
      <c r="H1145" t="str">
        <f t="shared" si="18"/>
        <v>ok</v>
      </c>
    </row>
    <row r="1146" spans="1:8" x14ac:dyDescent="0.3">
      <c r="A1146" s="2">
        <v>46045</v>
      </c>
      <c r="B1146" t="s">
        <v>12</v>
      </c>
      <c r="C1146" t="s">
        <v>19</v>
      </c>
      <c r="D1146" t="s">
        <v>9</v>
      </c>
      <c r="E1146" t="s">
        <v>21</v>
      </c>
      <c r="F1146" t="s">
        <v>1166</v>
      </c>
      <c r="G1146">
        <v>10.071199999999999</v>
      </c>
      <c r="H1146" t="str">
        <f t="shared" si="18"/>
        <v>ok</v>
      </c>
    </row>
    <row r="1147" spans="1:8" x14ac:dyDescent="0.3">
      <c r="A1147" s="2">
        <v>46045</v>
      </c>
      <c r="B1147" t="s">
        <v>12</v>
      </c>
      <c r="C1147" t="s">
        <v>19</v>
      </c>
      <c r="D1147" t="s">
        <v>9</v>
      </c>
      <c r="E1147" t="s">
        <v>21</v>
      </c>
      <c r="F1147" t="s">
        <v>1167</v>
      </c>
      <c r="G1147">
        <v>9.9792000000000005</v>
      </c>
      <c r="H1147" t="str">
        <f t="shared" si="18"/>
        <v>ok</v>
      </c>
    </row>
    <row r="1148" spans="1:8" x14ac:dyDescent="0.3">
      <c r="A1148" s="2">
        <v>46045</v>
      </c>
      <c r="B1148" t="s">
        <v>7</v>
      </c>
      <c r="C1148" t="s">
        <v>19</v>
      </c>
      <c r="D1148" t="s">
        <v>17</v>
      </c>
      <c r="E1148" t="s">
        <v>21</v>
      </c>
      <c r="F1148" t="s">
        <v>1168</v>
      </c>
      <c r="G1148">
        <v>10.0069</v>
      </c>
      <c r="H1148" t="str">
        <f t="shared" si="18"/>
        <v>ok</v>
      </c>
    </row>
    <row r="1149" spans="1:8" x14ac:dyDescent="0.3">
      <c r="A1149" s="2">
        <v>46045</v>
      </c>
      <c r="B1149" t="s">
        <v>23</v>
      </c>
      <c r="C1149" t="s">
        <v>19</v>
      </c>
      <c r="D1149" t="s">
        <v>13</v>
      </c>
      <c r="E1149" t="s">
        <v>21</v>
      </c>
      <c r="F1149" t="s">
        <v>1169</v>
      </c>
      <c r="G1149">
        <v>10.009499999999999</v>
      </c>
      <c r="H1149" t="str">
        <f t="shared" si="18"/>
        <v>ok</v>
      </c>
    </row>
    <row r="1150" spans="1:8" x14ac:dyDescent="0.3">
      <c r="A1150" s="2">
        <v>46045</v>
      </c>
      <c r="B1150" t="s">
        <v>7</v>
      </c>
      <c r="C1150" t="s">
        <v>19</v>
      </c>
      <c r="D1150" t="s">
        <v>17</v>
      </c>
      <c r="E1150" t="s">
        <v>28</v>
      </c>
      <c r="F1150" t="s">
        <v>1170</v>
      </c>
      <c r="G1150">
        <v>9.9884000000000004</v>
      </c>
      <c r="H1150" t="str">
        <f t="shared" si="18"/>
        <v>ok</v>
      </c>
    </row>
    <row r="1151" spans="1:8" x14ac:dyDescent="0.3">
      <c r="A1151" s="2">
        <v>46045</v>
      </c>
      <c r="B1151" t="s">
        <v>7</v>
      </c>
      <c r="C1151" t="s">
        <v>19</v>
      </c>
      <c r="D1151" t="s">
        <v>13</v>
      </c>
      <c r="E1151" t="s">
        <v>36</v>
      </c>
      <c r="F1151" t="s">
        <v>1171</v>
      </c>
      <c r="G1151">
        <v>9.9651999999999994</v>
      </c>
      <c r="H1151" t="str">
        <f t="shared" si="18"/>
        <v>ok</v>
      </c>
    </row>
    <row r="1152" spans="1:8" x14ac:dyDescent="0.3">
      <c r="A1152" s="2">
        <v>46046</v>
      </c>
      <c r="B1152" t="s">
        <v>23</v>
      </c>
      <c r="C1152" t="s">
        <v>8</v>
      </c>
      <c r="D1152" t="s">
        <v>9</v>
      </c>
      <c r="E1152" t="s">
        <v>36</v>
      </c>
      <c r="F1152" t="s">
        <v>1172</v>
      </c>
      <c r="G1152">
        <v>10.010400000000001</v>
      </c>
      <c r="H1152" t="str">
        <f t="shared" si="18"/>
        <v>ok</v>
      </c>
    </row>
    <row r="1153" spans="1:8" x14ac:dyDescent="0.3">
      <c r="A1153" s="2">
        <v>46046</v>
      </c>
      <c r="B1153" t="s">
        <v>23</v>
      </c>
      <c r="C1153" t="s">
        <v>8</v>
      </c>
      <c r="D1153" t="s">
        <v>13</v>
      </c>
      <c r="E1153" t="s">
        <v>14</v>
      </c>
      <c r="F1153" t="s">
        <v>1173</v>
      </c>
      <c r="G1153">
        <v>10.0038</v>
      </c>
      <c r="H1153" t="str">
        <f t="shared" si="18"/>
        <v>ok</v>
      </c>
    </row>
    <row r="1154" spans="1:8" x14ac:dyDescent="0.3">
      <c r="A1154" s="2">
        <v>46046</v>
      </c>
      <c r="B1154" t="s">
        <v>7</v>
      </c>
      <c r="C1154" t="s">
        <v>16</v>
      </c>
      <c r="D1154" t="s">
        <v>17</v>
      </c>
      <c r="E1154" t="s">
        <v>10</v>
      </c>
      <c r="F1154" t="s">
        <v>1174</v>
      </c>
      <c r="G1154">
        <v>9.9963999999999995</v>
      </c>
      <c r="H1154" t="str">
        <f t="shared" si="18"/>
        <v>ok</v>
      </c>
    </row>
    <row r="1155" spans="1:8" x14ac:dyDescent="0.3">
      <c r="A1155" s="2">
        <v>46046</v>
      </c>
      <c r="B1155" t="s">
        <v>23</v>
      </c>
      <c r="C1155" t="s">
        <v>16</v>
      </c>
      <c r="D1155" t="s">
        <v>34</v>
      </c>
      <c r="E1155" t="s">
        <v>36</v>
      </c>
      <c r="F1155" t="s">
        <v>1175</v>
      </c>
      <c r="G1155">
        <v>10.034700000000001</v>
      </c>
      <c r="H1155" t="str">
        <f t="shared" si="18"/>
        <v>ok</v>
      </c>
    </row>
    <row r="1156" spans="1:8" x14ac:dyDescent="0.3">
      <c r="A1156" s="2">
        <v>46046</v>
      </c>
      <c r="B1156" t="s">
        <v>7</v>
      </c>
      <c r="C1156" t="s">
        <v>19</v>
      </c>
      <c r="D1156" t="s">
        <v>17</v>
      </c>
      <c r="E1156" t="s">
        <v>36</v>
      </c>
      <c r="F1156" t="s">
        <v>1176</v>
      </c>
      <c r="G1156">
        <v>10.0106</v>
      </c>
      <c r="H1156" t="str">
        <f t="shared" si="18"/>
        <v>ok</v>
      </c>
    </row>
    <row r="1157" spans="1:8" x14ac:dyDescent="0.3">
      <c r="A1157" s="2">
        <v>46046</v>
      </c>
      <c r="B1157" t="s">
        <v>12</v>
      </c>
      <c r="C1157" t="s">
        <v>19</v>
      </c>
      <c r="D1157" t="s">
        <v>13</v>
      </c>
      <c r="E1157" t="s">
        <v>36</v>
      </c>
      <c r="F1157" t="s">
        <v>1177</v>
      </c>
      <c r="G1157">
        <v>10.033799999999999</v>
      </c>
      <c r="H1157" t="str">
        <f t="shared" si="18"/>
        <v>ok</v>
      </c>
    </row>
    <row r="1158" spans="1:8" x14ac:dyDescent="0.3">
      <c r="A1158" s="2">
        <v>46046</v>
      </c>
      <c r="B1158" t="s">
        <v>12</v>
      </c>
      <c r="C1158" t="s">
        <v>16</v>
      </c>
      <c r="D1158" t="s">
        <v>9</v>
      </c>
      <c r="E1158" t="s">
        <v>14</v>
      </c>
      <c r="F1158" t="s">
        <v>1178</v>
      </c>
      <c r="G1158">
        <v>10.023099999999999</v>
      </c>
      <c r="H1158" t="str">
        <f t="shared" ref="H1158:H1221" si="19">IF(OR(G1158&gt;10.5,G1158&lt;9.95),"Defect","ok")</f>
        <v>ok</v>
      </c>
    </row>
    <row r="1159" spans="1:8" x14ac:dyDescent="0.3">
      <c r="A1159" s="2">
        <v>46046</v>
      </c>
      <c r="B1159" t="s">
        <v>7</v>
      </c>
      <c r="C1159" t="s">
        <v>16</v>
      </c>
      <c r="D1159" t="s">
        <v>13</v>
      </c>
      <c r="E1159" t="s">
        <v>10</v>
      </c>
      <c r="F1159" t="s">
        <v>1179</v>
      </c>
      <c r="G1159">
        <v>9.9899000000000004</v>
      </c>
      <c r="H1159" t="str">
        <f t="shared" si="19"/>
        <v>ok</v>
      </c>
    </row>
    <row r="1160" spans="1:8" x14ac:dyDescent="0.3">
      <c r="A1160" s="2">
        <v>46046</v>
      </c>
      <c r="B1160" t="s">
        <v>23</v>
      </c>
      <c r="C1160" t="s">
        <v>16</v>
      </c>
      <c r="D1160" t="s">
        <v>9</v>
      </c>
      <c r="E1160" t="s">
        <v>21</v>
      </c>
      <c r="F1160" t="s">
        <v>1180</v>
      </c>
      <c r="G1160">
        <v>9.9970999999999997</v>
      </c>
      <c r="H1160" t="str">
        <f t="shared" si="19"/>
        <v>ok</v>
      </c>
    </row>
    <row r="1161" spans="1:8" x14ac:dyDescent="0.3">
      <c r="A1161" s="2">
        <v>46046</v>
      </c>
      <c r="B1161" t="s">
        <v>7</v>
      </c>
      <c r="C1161" t="s">
        <v>19</v>
      </c>
      <c r="D1161" t="s">
        <v>9</v>
      </c>
      <c r="E1161" t="s">
        <v>10</v>
      </c>
      <c r="F1161" t="s">
        <v>1181</v>
      </c>
      <c r="G1161">
        <v>9.9962999999999997</v>
      </c>
      <c r="H1161" t="str">
        <f t="shared" si="19"/>
        <v>ok</v>
      </c>
    </row>
    <row r="1162" spans="1:8" x14ac:dyDescent="0.3">
      <c r="A1162" s="2">
        <v>46046</v>
      </c>
      <c r="B1162" t="s">
        <v>23</v>
      </c>
      <c r="C1162" t="s">
        <v>16</v>
      </c>
      <c r="D1162" t="s">
        <v>13</v>
      </c>
      <c r="E1162" t="s">
        <v>21</v>
      </c>
      <c r="F1162" t="s">
        <v>1182</v>
      </c>
      <c r="G1162">
        <v>9.9945000000000004</v>
      </c>
      <c r="H1162" t="str">
        <f t="shared" si="19"/>
        <v>ok</v>
      </c>
    </row>
    <row r="1163" spans="1:8" x14ac:dyDescent="0.3">
      <c r="A1163" s="2">
        <v>46046</v>
      </c>
      <c r="B1163" t="s">
        <v>23</v>
      </c>
      <c r="C1163" t="s">
        <v>8</v>
      </c>
      <c r="D1163" t="s">
        <v>17</v>
      </c>
      <c r="E1163" t="s">
        <v>36</v>
      </c>
      <c r="F1163" t="s">
        <v>1183</v>
      </c>
      <c r="G1163">
        <v>10.007899999999999</v>
      </c>
      <c r="H1163" t="str">
        <f t="shared" si="19"/>
        <v>ok</v>
      </c>
    </row>
    <row r="1164" spans="1:8" x14ac:dyDescent="0.3">
      <c r="A1164" s="2">
        <v>46046</v>
      </c>
      <c r="B1164" t="s">
        <v>12</v>
      </c>
      <c r="C1164" t="s">
        <v>19</v>
      </c>
      <c r="D1164" t="s">
        <v>34</v>
      </c>
      <c r="E1164" t="s">
        <v>14</v>
      </c>
      <c r="F1164" t="s">
        <v>1184</v>
      </c>
      <c r="G1164">
        <v>10.023</v>
      </c>
      <c r="H1164" t="str">
        <f t="shared" si="19"/>
        <v>ok</v>
      </c>
    </row>
    <row r="1165" spans="1:8" x14ac:dyDescent="0.3">
      <c r="A1165" s="2">
        <v>46046</v>
      </c>
      <c r="B1165" t="s">
        <v>7</v>
      </c>
      <c r="C1165" t="s">
        <v>16</v>
      </c>
      <c r="D1165" t="s">
        <v>13</v>
      </c>
      <c r="E1165" t="s">
        <v>21</v>
      </c>
      <c r="F1165" t="s">
        <v>1185</v>
      </c>
      <c r="G1165">
        <v>10.010199999999999</v>
      </c>
      <c r="H1165" t="str">
        <f t="shared" si="19"/>
        <v>ok</v>
      </c>
    </row>
    <row r="1166" spans="1:8" x14ac:dyDescent="0.3">
      <c r="A1166" s="2">
        <v>46046</v>
      </c>
      <c r="B1166" t="s">
        <v>23</v>
      </c>
      <c r="C1166" t="s">
        <v>19</v>
      </c>
      <c r="D1166" t="s">
        <v>9</v>
      </c>
      <c r="E1166" t="s">
        <v>14</v>
      </c>
      <c r="F1166" t="s">
        <v>1186</v>
      </c>
      <c r="G1166">
        <v>10.006500000000001</v>
      </c>
      <c r="H1166" t="str">
        <f t="shared" si="19"/>
        <v>ok</v>
      </c>
    </row>
    <row r="1167" spans="1:8" x14ac:dyDescent="0.3">
      <c r="A1167" s="2">
        <v>46046</v>
      </c>
      <c r="B1167" t="s">
        <v>23</v>
      </c>
      <c r="C1167" t="s">
        <v>16</v>
      </c>
      <c r="D1167" t="s">
        <v>17</v>
      </c>
      <c r="E1167" t="s">
        <v>28</v>
      </c>
      <c r="F1167" t="s">
        <v>1187</v>
      </c>
      <c r="G1167">
        <v>10.005800000000001</v>
      </c>
      <c r="H1167" t="str">
        <f t="shared" si="19"/>
        <v>ok</v>
      </c>
    </row>
    <row r="1168" spans="1:8" x14ac:dyDescent="0.3">
      <c r="A1168" s="2">
        <v>46046</v>
      </c>
      <c r="B1168" t="s">
        <v>23</v>
      </c>
      <c r="C1168" t="s">
        <v>19</v>
      </c>
      <c r="D1168" t="s">
        <v>34</v>
      </c>
      <c r="E1168" t="s">
        <v>10</v>
      </c>
      <c r="F1168" t="s">
        <v>1188</v>
      </c>
      <c r="G1168">
        <v>9.9659999999999993</v>
      </c>
      <c r="H1168" t="str">
        <f t="shared" si="19"/>
        <v>ok</v>
      </c>
    </row>
    <row r="1169" spans="1:8" x14ac:dyDescent="0.3">
      <c r="A1169" s="2">
        <v>46046</v>
      </c>
      <c r="B1169" t="s">
        <v>7</v>
      </c>
      <c r="C1169" t="s">
        <v>19</v>
      </c>
      <c r="D1169" t="s">
        <v>9</v>
      </c>
      <c r="E1169" t="s">
        <v>21</v>
      </c>
      <c r="F1169" t="s">
        <v>1189</v>
      </c>
      <c r="G1169">
        <v>10.0046</v>
      </c>
      <c r="H1169" t="str">
        <f t="shared" si="19"/>
        <v>ok</v>
      </c>
    </row>
    <row r="1170" spans="1:8" x14ac:dyDescent="0.3">
      <c r="A1170" s="2">
        <v>46046</v>
      </c>
      <c r="B1170" t="s">
        <v>12</v>
      </c>
      <c r="C1170" t="s">
        <v>16</v>
      </c>
      <c r="D1170" t="s">
        <v>13</v>
      </c>
      <c r="E1170" t="s">
        <v>14</v>
      </c>
      <c r="F1170" t="s">
        <v>1190</v>
      </c>
      <c r="G1170">
        <v>10.0334</v>
      </c>
      <c r="H1170" t="str">
        <f t="shared" si="19"/>
        <v>ok</v>
      </c>
    </row>
    <row r="1171" spans="1:8" x14ac:dyDescent="0.3">
      <c r="A1171" s="2">
        <v>46046</v>
      </c>
      <c r="B1171" t="s">
        <v>7</v>
      </c>
      <c r="C1171" t="s">
        <v>16</v>
      </c>
      <c r="D1171" t="s">
        <v>17</v>
      </c>
      <c r="E1171" t="s">
        <v>21</v>
      </c>
      <c r="F1171" t="s">
        <v>1191</v>
      </c>
      <c r="G1171">
        <v>10.0337</v>
      </c>
      <c r="H1171" t="str">
        <f t="shared" si="19"/>
        <v>ok</v>
      </c>
    </row>
    <row r="1172" spans="1:8" x14ac:dyDescent="0.3">
      <c r="A1172" s="2">
        <v>46046</v>
      </c>
      <c r="B1172" t="s">
        <v>7</v>
      </c>
      <c r="C1172" t="s">
        <v>16</v>
      </c>
      <c r="D1172" t="s">
        <v>17</v>
      </c>
      <c r="E1172" t="s">
        <v>28</v>
      </c>
      <c r="F1172" t="s">
        <v>1192</v>
      </c>
      <c r="G1172">
        <v>10.029999999999999</v>
      </c>
      <c r="H1172" t="str">
        <f t="shared" si="19"/>
        <v>ok</v>
      </c>
    </row>
    <row r="1173" spans="1:8" x14ac:dyDescent="0.3">
      <c r="A1173" s="2">
        <v>46046</v>
      </c>
      <c r="B1173" t="s">
        <v>23</v>
      </c>
      <c r="C1173" t="s">
        <v>16</v>
      </c>
      <c r="D1173" t="s">
        <v>13</v>
      </c>
      <c r="E1173" t="s">
        <v>36</v>
      </c>
      <c r="F1173" t="s">
        <v>1193</v>
      </c>
      <c r="G1173">
        <v>10.0343</v>
      </c>
      <c r="H1173" t="str">
        <f t="shared" si="19"/>
        <v>ok</v>
      </c>
    </row>
    <row r="1174" spans="1:8" x14ac:dyDescent="0.3">
      <c r="A1174" s="2">
        <v>46046</v>
      </c>
      <c r="B1174" t="s">
        <v>7</v>
      </c>
      <c r="C1174" t="s">
        <v>8</v>
      </c>
      <c r="D1174" t="s">
        <v>13</v>
      </c>
      <c r="E1174" t="s">
        <v>28</v>
      </c>
      <c r="F1174" t="s">
        <v>1194</v>
      </c>
      <c r="G1174">
        <v>9.9861000000000004</v>
      </c>
      <c r="H1174" t="str">
        <f t="shared" si="19"/>
        <v>ok</v>
      </c>
    </row>
    <row r="1175" spans="1:8" x14ac:dyDescent="0.3">
      <c r="A1175" s="2">
        <v>46046</v>
      </c>
      <c r="B1175" t="s">
        <v>12</v>
      </c>
      <c r="C1175" t="s">
        <v>16</v>
      </c>
      <c r="D1175" t="s">
        <v>13</v>
      </c>
      <c r="E1175" t="s">
        <v>14</v>
      </c>
      <c r="F1175" t="s">
        <v>1195</v>
      </c>
      <c r="G1175">
        <v>9.9807000000000006</v>
      </c>
      <c r="H1175" t="str">
        <f t="shared" si="19"/>
        <v>ok</v>
      </c>
    </row>
    <row r="1176" spans="1:8" x14ac:dyDescent="0.3">
      <c r="A1176" s="2">
        <v>46046</v>
      </c>
      <c r="B1176" t="s">
        <v>23</v>
      </c>
      <c r="C1176" t="s">
        <v>8</v>
      </c>
      <c r="D1176" t="s">
        <v>13</v>
      </c>
      <c r="E1176" t="s">
        <v>36</v>
      </c>
      <c r="F1176" t="s">
        <v>1196</v>
      </c>
      <c r="G1176">
        <v>10.0022</v>
      </c>
      <c r="H1176" t="str">
        <f t="shared" si="19"/>
        <v>ok</v>
      </c>
    </row>
    <row r="1177" spans="1:8" x14ac:dyDescent="0.3">
      <c r="A1177" s="2">
        <v>46046</v>
      </c>
      <c r="B1177" t="s">
        <v>23</v>
      </c>
      <c r="C1177" t="s">
        <v>16</v>
      </c>
      <c r="D1177" t="s">
        <v>13</v>
      </c>
      <c r="E1177" t="s">
        <v>36</v>
      </c>
      <c r="F1177" t="s">
        <v>1197</v>
      </c>
      <c r="G1177">
        <v>10.000400000000001</v>
      </c>
      <c r="H1177" t="str">
        <f t="shared" si="19"/>
        <v>ok</v>
      </c>
    </row>
    <row r="1178" spans="1:8" x14ac:dyDescent="0.3">
      <c r="A1178" s="2">
        <v>46046</v>
      </c>
      <c r="B1178" t="s">
        <v>23</v>
      </c>
      <c r="C1178" t="s">
        <v>19</v>
      </c>
      <c r="D1178" t="s">
        <v>9</v>
      </c>
      <c r="E1178" t="s">
        <v>21</v>
      </c>
      <c r="F1178" t="s">
        <v>1198</v>
      </c>
      <c r="G1178">
        <v>10.017099999999999</v>
      </c>
      <c r="H1178" t="str">
        <f t="shared" si="19"/>
        <v>ok</v>
      </c>
    </row>
    <row r="1179" spans="1:8" x14ac:dyDescent="0.3">
      <c r="A1179" s="2">
        <v>46046</v>
      </c>
      <c r="B1179" t="s">
        <v>23</v>
      </c>
      <c r="C1179" t="s">
        <v>19</v>
      </c>
      <c r="D1179" t="s">
        <v>13</v>
      </c>
      <c r="E1179" t="s">
        <v>36</v>
      </c>
      <c r="F1179" t="s">
        <v>1199</v>
      </c>
      <c r="G1179">
        <v>9.9770000000000003</v>
      </c>
      <c r="H1179" t="str">
        <f t="shared" si="19"/>
        <v>ok</v>
      </c>
    </row>
    <row r="1180" spans="1:8" x14ac:dyDescent="0.3">
      <c r="A1180" s="2">
        <v>46046</v>
      </c>
      <c r="B1180" t="s">
        <v>23</v>
      </c>
      <c r="C1180" t="s">
        <v>16</v>
      </c>
      <c r="D1180" t="s">
        <v>17</v>
      </c>
      <c r="E1180" t="s">
        <v>28</v>
      </c>
      <c r="F1180" t="s">
        <v>1200</v>
      </c>
      <c r="G1180">
        <v>9.9934999999999992</v>
      </c>
      <c r="H1180" t="str">
        <f t="shared" si="19"/>
        <v>ok</v>
      </c>
    </row>
    <row r="1181" spans="1:8" x14ac:dyDescent="0.3">
      <c r="A1181" s="2">
        <v>46046</v>
      </c>
      <c r="B1181" t="s">
        <v>7</v>
      </c>
      <c r="C1181" t="s">
        <v>16</v>
      </c>
      <c r="D1181" t="s">
        <v>34</v>
      </c>
      <c r="E1181" t="s">
        <v>21</v>
      </c>
      <c r="F1181" t="s">
        <v>1201</v>
      </c>
      <c r="G1181">
        <v>10.0024</v>
      </c>
      <c r="H1181" t="str">
        <f t="shared" si="19"/>
        <v>ok</v>
      </c>
    </row>
    <row r="1182" spans="1:8" x14ac:dyDescent="0.3">
      <c r="A1182" s="2">
        <v>46046</v>
      </c>
      <c r="B1182" t="s">
        <v>23</v>
      </c>
      <c r="C1182" t="s">
        <v>8</v>
      </c>
      <c r="D1182" t="s">
        <v>13</v>
      </c>
      <c r="E1182" t="s">
        <v>21</v>
      </c>
      <c r="F1182" t="s">
        <v>1202</v>
      </c>
      <c r="G1182">
        <v>9.9908999999999999</v>
      </c>
      <c r="H1182" t="str">
        <f t="shared" si="19"/>
        <v>ok</v>
      </c>
    </row>
    <row r="1183" spans="1:8" x14ac:dyDescent="0.3">
      <c r="A1183" s="2">
        <v>46046</v>
      </c>
      <c r="B1183" t="s">
        <v>12</v>
      </c>
      <c r="C1183" t="s">
        <v>8</v>
      </c>
      <c r="D1183" t="s">
        <v>13</v>
      </c>
      <c r="E1183" t="s">
        <v>28</v>
      </c>
      <c r="F1183" t="s">
        <v>1203</v>
      </c>
      <c r="G1183">
        <v>9.9928000000000008</v>
      </c>
      <c r="H1183" t="str">
        <f t="shared" si="19"/>
        <v>ok</v>
      </c>
    </row>
    <row r="1184" spans="1:8" x14ac:dyDescent="0.3">
      <c r="A1184" s="2">
        <v>46046</v>
      </c>
      <c r="B1184" t="s">
        <v>23</v>
      </c>
      <c r="C1184" t="s">
        <v>8</v>
      </c>
      <c r="D1184" t="s">
        <v>17</v>
      </c>
      <c r="E1184" t="s">
        <v>10</v>
      </c>
      <c r="F1184" t="s">
        <v>1204</v>
      </c>
      <c r="G1184">
        <v>10.015599999999999</v>
      </c>
      <c r="H1184" t="str">
        <f t="shared" si="19"/>
        <v>ok</v>
      </c>
    </row>
    <row r="1185" spans="1:8" x14ac:dyDescent="0.3">
      <c r="A1185" s="2">
        <v>46046</v>
      </c>
      <c r="B1185" t="s">
        <v>23</v>
      </c>
      <c r="C1185" t="s">
        <v>16</v>
      </c>
      <c r="D1185" t="s">
        <v>13</v>
      </c>
      <c r="E1185" t="s">
        <v>21</v>
      </c>
      <c r="F1185" t="s">
        <v>1205</v>
      </c>
      <c r="G1185">
        <v>10.0275</v>
      </c>
      <c r="H1185" t="str">
        <f t="shared" si="19"/>
        <v>ok</v>
      </c>
    </row>
    <row r="1186" spans="1:8" x14ac:dyDescent="0.3">
      <c r="A1186" s="2">
        <v>46046</v>
      </c>
      <c r="B1186" t="s">
        <v>7</v>
      </c>
      <c r="C1186" t="s">
        <v>8</v>
      </c>
      <c r="D1186" t="s">
        <v>9</v>
      </c>
      <c r="E1186" t="s">
        <v>10</v>
      </c>
      <c r="F1186" t="s">
        <v>1206</v>
      </c>
      <c r="G1186">
        <v>9.9910999999999994</v>
      </c>
      <c r="H1186" t="str">
        <f t="shared" si="19"/>
        <v>ok</v>
      </c>
    </row>
    <row r="1187" spans="1:8" x14ac:dyDescent="0.3">
      <c r="A1187" s="2">
        <v>46046</v>
      </c>
      <c r="B1187" t="s">
        <v>7</v>
      </c>
      <c r="C1187" t="s">
        <v>19</v>
      </c>
      <c r="D1187" t="s">
        <v>9</v>
      </c>
      <c r="E1187" t="s">
        <v>14</v>
      </c>
      <c r="F1187" t="s">
        <v>1207</v>
      </c>
      <c r="G1187">
        <v>9.9827999999999992</v>
      </c>
      <c r="H1187" t="str">
        <f t="shared" si="19"/>
        <v>ok</v>
      </c>
    </row>
    <row r="1188" spans="1:8" x14ac:dyDescent="0.3">
      <c r="A1188" s="2">
        <v>46046</v>
      </c>
      <c r="B1188" t="s">
        <v>12</v>
      </c>
      <c r="C1188" t="s">
        <v>8</v>
      </c>
      <c r="D1188" t="s">
        <v>34</v>
      </c>
      <c r="E1188" t="s">
        <v>10</v>
      </c>
      <c r="F1188" t="s">
        <v>1208</v>
      </c>
      <c r="G1188">
        <v>10.001200000000001</v>
      </c>
      <c r="H1188" t="str">
        <f t="shared" si="19"/>
        <v>ok</v>
      </c>
    </row>
    <row r="1189" spans="1:8" x14ac:dyDescent="0.3">
      <c r="A1189" s="2">
        <v>46046</v>
      </c>
      <c r="B1189" t="s">
        <v>23</v>
      </c>
      <c r="C1189" t="s">
        <v>19</v>
      </c>
      <c r="D1189" t="s">
        <v>9</v>
      </c>
      <c r="E1189" t="s">
        <v>10</v>
      </c>
      <c r="F1189" t="s">
        <v>1209</v>
      </c>
      <c r="G1189">
        <v>10.000299999999999</v>
      </c>
      <c r="H1189" t="str">
        <f t="shared" si="19"/>
        <v>ok</v>
      </c>
    </row>
    <row r="1190" spans="1:8" x14ac:dyDescent="0.3">
      <c r="A1190" s="2">
        <v>46046</v>
      </c>
      <c r="B1190" t="s">
        <v>7</v>
      </c>
      <c r="C1190" t="s">
        <v>16</v>
      </c>
      <c r="D1190" t="s">
        <v>9</v>
      </c>
      <c r="E1190" t="s">
        <v>10</v>
      </c>
      <c r="F1190" t="s">
        <v>1210</v>
      </c>
      <c r="G1190">
        <v>10.023099999999999</v>
      </c>
      <c r="H1190" t="str">
        <f t="shared" si="19"/>
        <v>ok</v>
      </c>
    </row>
    <row r="1191" spans="1:8" x14ac:dyDescent="0.3">
      <c r="A1191" s="2">
        <v>46046</v>
      </c>
      <c r="B1191" t="s">
        <v>23</v>
      </c>
      <c r="C1191" t="s">
        <v>8</v>
      </c>
      <c r="D1191" t="s">
        <v>13</v>
      </c>
      <c r="E1191" t="s">
        <v>36</v>
      </c>
      <c r="F1191" t="s">
        <v>1211</v>
      </c>
      <c r="G1191">
        <v>9.9937000000000005</v>
      </c>
      <c r="H1191" t="str">
        <f t="shared" si="19"/>
        <v>ok</v>
      </c>
    </row>
    <row r="1192" spans="1:8" x14ac:dyDescent="0.3">
      <c r="A1192" s="2">
        <v>46046</v>
      </c>
      <c r="B1192" t="s">
        <v>12</v>
      </c>
      <c r="C1192" t="s">
        <v>16</v>
      </c>
      <c r="D1192" t="s">
        <v>13</v>
      </c>
      <c r="E1192" t="s">
        <v>14</v>
      </c>
      <c r="F1192" t="s">
        <v>1212</v>
      </c>
      <c r="G1192">
        <v>10.006600000000001</v>
      </c>
      <c r="H1192" t="str">
        <f t="shared" si="19"/>
        <v>ok</v>
      </c>
    </row>
    <row r="1193" spans="1:8" x14ac:dyDescent="0.3">
      <c r="A1193" s="2">
        <v>46046</v>
      </c>
      <c r="B1193" t="s">
        <v>12</v>
      </c>
      <c r="C1193" t="s">
        <v>8</v>
      </c>
      <c r="D1193" t="s">
        <v>34</v>
      </c>
      <c r="E1193" t="s">
        <v>10</v>
      </c>
      <c r="F1193" t="s">
        <v>1213</v>
      </c>
      <c r="G1193">
        <v>10.0116</v>
      </c>
      <c r="H1193" t="str">
        <f t="shared" si="19"/>
        <v>ok</v>
      </c>
    </row>
    <row r="1194" spans="1:8" x14ac:dyDescent="0.3">
      <c r="A1194" s="2">
        <v>46046</v>
      </c>
      <c r="B1194" t="s">
        <v>12</v>
      </c>
      <c r="C1194" t="s">
        <v>16</v>
      </c>
      <c r="D1194" t="s">
        <v>13</v>
      </c>
      <c r="E1194" t="s">
        <v>36</v>
      </c>
      <c r="F1194" t="s">
        <v>1214</v>
      </c>
      <c r="G1194">
        <v>9.9867000000000008</v>
      </c>
      <c r="H1194" t="str">
        <f t="shared" si="19"/>
        <v>ok</v>
      </c>
    </row>
    <row r="1195" spans="1:8" x14ac:dyDescent="0.3">
      <c r="A1195" s="2">
        <v>46046</v>
      </c>
      <c r="B1195" t="s">
        <v>12</v>
      </c>
      <c r="C1195" t="s">
        <v>8</v>
      </c>
      <c r="D1195" t="s">
        <v>17</v>
      </c>
      <c r="E1195" t="s">
        <v>36</v>
      </c>
      <c r="F1195" t="s">
        <v>1215</v>
      </c>
      <c r="G1195">
        <v>9.9827999999999992</v>
      </c>
      <c r="H1195" t="str">
        <f t="shared" si="19"/>
        <v>ok</v>
      </c>
    </row>
    <row r="1196" spans="1:8" x14ac:dyDescent="0.3">
      <c r="A1196" s="2">
        <v>46046</v>
      </c>
      <c r="B1196" t="s">
        <v>7</v>
      </c>
      <c r="C1196" t="s">
        <v>19</v>
      </c>
      <c r="D1196" t="s">
        <v>34</v>
      </c>
      <c r="E1196" t="s">
        <v>36</v>
      </c>
      <c r="F1196" t="s">
        <v>1216</v>
      </c>
      <c r="G1196">
        <v>10.008699999999999</v>
      </c>
      <c r="H1196" t="str">
        <f t="shared" si="19"/>
        <v>ok</v>
      </c>
    </row>
    <row r="1197" spans="1:8" x14ac:dyDescent="0.3">
      <c r="A1197" s="2">
        <v>46046</v>
      </c>
      <c r="B1197" t="s">
        <v>12</v>
      </c>
      <c r="C1197" t="s">
        <v>19</v>
      </c>
      <c r="D1197" t="s">
        <v>9</v>
      </c>
      <c r="E1197" t="s">
        <v>14</v>
      </c>
      <c r="F1197" t="s">
        <v>1217</v>
      </c>
      <c r="G1197">
        <v>9.9588000000000001</v>
      </c>
      <c r="H1197" t="str">
        <f t="shared" si="19"/>
        <v>ok</v>
      </c>
    </row>
    <row r="1198" spans="1:8" x14ac:dyDescent="0.3">
      <c r="A1198" s="2">
        <v>46046</v>
      </c>
      <c r="B1198" t="s">
        <v>7</v>
      </c>
      <c r="C1198" t="s">
        <v>16</v>
      </c>
      <c r="D1198" t="s">
        <v>13</v>
      </c>
      <c r="E1198" t="s">
        <v>36</v>
      </c>
      <c r="F1198" t="s">
        <v>1218</v>
      </c>
      <c r="G1198">
        <v>10.0143</v>
      </c>
      <c r="H1198" t="str">
        <f t="shared" si="19"/>
        <v>ok</v>
      </c>
    </row>
    <row r="1199" spans="1:8" x14ac:dyDescent="0.3">
      <c r="A1199" s="2">
        <v>46046</v>
      </c>
      <c r="B1199" t="s">
        <v>12</v>
      </c>
      <c r="C1199" t="s">
        <v>19</v>
      </c>
      <c r="D1199" t="s">
        <v>17</v>
      </c>
      <c r="E1199" t="s">
        <v>10</v>
      </c>
      <c r="F1199" t="s">
        <v>1219</v>
      </c>
      <c r="G1199">
        <v>9.9992000000000001</v>
      </c>
      <c r="H1199" t="str">
        <f t="shared" si="19"/>
        <v>ok</v>
      </c>
    </row>
    <row r="1200" spans="1:8" x14ac:dyDescent="0.3">
      <c r="A1200" s="2">
        <v>46046</v>
      </c>
      <c r="B1200" t="s">
        <v>23</v>
      </c>
      <c r="C1200" t="s">
        <v>19</v>
      </c>
      <c r="D1200" t="s">
        <v>34</v>
      </c>
      <c r="E1200" t="s">
        <v>21</v>
      </c>
      <c r="F1200" t="s">
        <v>1220</v>
      </c>
      <c r="G1200">
        <v>10.0077</v>
      </c>
      <c r="H1200" t="str">
        <f t="shared" si="19"/>
        <v>ok</v>
      </c>
    </row>
    <row r="1201" spans="1:8" x14ac:dyDescent="0.3">
      <c r="A1201" s="2">
        <v>46046</v>
      </c>
      <c r="B1201" t="s">
        <v>7</v>
      </c>
      <c r="C1201" t="s">
        <v>19</v>
      </c>
      <c r="D1201" t="s">
        <v>17</v>
      </c>
      <c r="E1201" t="s">
        <v>14</v>
      </c>
      <c r="F1201" t="s">
        <v>1221</v>
      </c>
      <c r="G1201">
        <v>10.0038</v>
      </c>
      <c r="H1201" t="str">
        <f t="shared" si="19"/>
        <v>ok</v>
      </c>
    </row>
    <row r="1202" spans="1:8" x14ac:dyDescent="0.3">
      <c r="A1202" s="2">
        <v>46047</v>
      </c>
      <c r="B1202" t="s">
        <v>12</v>
      </c>
      <c r="C1202" t="s">
        <v>19</v>
      </c>
      <c r="D1202" t="s">
        <v>13</v>
      </c>
      <c r="E1202" t="s">
        <v>36</v>
      </c>
      <c r="F1202" t="s">
        <v>1222</v>
      </c>
      <c r="G1202">
        <v>9.9812999999999992</v>
      </c>
      <c r="H1202" t="str">
        <f t="shared" si="19"/>
        <v>ok</v>
      </c>
    </row>
    <row r="1203" spans="1:8" x14ac:dyDescent="0.3">
      <c r="A1203" s="2">
        <v>46047</v>
      </c>
      <c r="B1203" t="s">
        <v>7</v>
      </c>
      <c r="C1203" t="s">
        <v>16</v>
      </c>
      <c r="D1203" t="s">
        <v>9</v>
      </c>
      <c r="E1203" t="s">
        <v>21</v>
      </c>
      <c r="F1203" t="s">
        <v>1223</v>
      </c>
      <c r="G1203">
        <v>9.9879999999999995</v>
      </c>
      <c r="H1203" t="str">
        <f t="shared" si="19"/>
        <v>ok</v>
      </c>
    </row>
    <row r="1204" spans="1:8" x14ac:dyDescent="0.3">
      <c r="A1204" s="2">
        <v>46047</v>
      </c>
      <c r="B1204" t="s">
        <v>12</v>
      </c>
      <c r="C1204" t="s">
        <v>8</v>
      </c>
      <c r="D1204" t="s">
        <v>13</v>
      </c>
      <c r="E1204" t="s">
        <v>10</v>
      </c>
      <c r="F1204" t="s">
        <v>1224</v>
      </c>
      <c r="G1204">
        <v>10.001099999999999</v>
      </c>
      <c r="H1204" t="str">
        <f t="shared" si="19"/>
        <v>ok</v>
      </c>
    </row>
    <row r="1205" spans="1:8" x14ac:dyDescent="0.3">
      <c r="A1205" s="2">
        <v>46047</v>
      </c>
      <c r="B1205" t="s">
        <v>12</v>
      </c>
      <c r="C1205" t="s">
        <v>8</v>
      </c>
      <c r="D1205" t="s">
        <v>13</v>
      </c>
      <c r="E1205" t="s">
        <v>36</v>
      </c>
      <c r="F1205" t="s">
        <v>1225</v>
      </c>
      <c r="G1205">
        <v>9.9801000000000002</v>
      </c>
      <c r="H1205" t="str">
        <f t="shared" si="19"/>
        <v>ok</v>
      </c>
    </row>
    <row r="1206" spans="1:8" x14ac:dyDescent="0.3">
      <c r="A1206" s="2">
        <v>46047</v>
      </c>
      <c r="B1206" t="s">
        <v>12</v>
      </c>
      <c r="C1206" t="s">
        <v>16</v>
      </c>
      <c r="D1206" t="s">
        <v>34</v>
      </c>
      <c r="E1206" t="s">
        <v>14</v>
      </c>
      <c r="F1206" t="s">
        <v>1226</v>
      </c>
      <c r="G1206">
        <v>10.0016</v>
      </c>
      <c r="H1206" t="str">
        <f t="shared" si="19"/>
        <v>ok</v>
      </c>
    </row>
    <row r="1207" spans="1:8" x14ac:dyDescent="0.3">
      <c r="A1207" s="2">
        <v>46047</v>
      </c>
      <c r="B1207" t="s">
        <v>12</v>
      </c>
      <c r="C1207" t="s">
        <v>19</v>
      </c>
      <c r="D1207" t="s">
        <v>9</v>
      </c>
      <c r="E1207" t="s">
        <v>36</v>
      </c>
      <c r="F1207" t="s">
        <v>1227</v>
      </c>
      <c r="G1207">
        <v>10.008599999999999</v>
      </c>
      <c r="H1207" t="str">
        <f t="shared" si="19"/>
        <v>ok</v>
      </c>
    </row>
    <row r="1208" spans="1:8" x14ac:dyDescent="0.3">
      <c r="A1208" s="2">
        <v>46047</v>
      </c>
      <c r="B1208" t="s">
        <v>12</v>
      </c>
      <c r="C1208" t="s">
        <v>19</v>
      </c>
      <c r="D1208" t="s">
        <v>34</v>
      </c>
      <c r="E1208" t="s">
        <v>28</v>
      </c>
      <c r="F1208" t="s">
        <v>1228</v>
      </c>
      <c r="G1208">
        <v>10.0238</v>
      </c>
      <c r="H1208" t="str">
        <f t="shared" si="19"/>
        <v>ok</v>
      </c>
    </row>
    <row r="1209" spans="1:8" x14ac:dyDescent="0.3">
      <c r="A1209" s="2">
        <v>46047</v>
      </c>
      <c r="B1209" t="s">
        <v>12</v>
      </c>
      <c r="C1209" t="s">
        <v>19</v>
      </c>
      <c r="D1209" t="s">
        <v>13</v>
      </c>
      <c r="E1209" t="s">
        <v>14</v>
      </c>
      <c r="F1209" t="s">
        <v>1229</v>
      </c>
      <c r="G1209">
        <v>10.0534</v>
      </c>
      <c r="H1209" t="str">
        <f t="shared" si="19"/>
        <v>ok</v>
      </c>
    </row>
    <row r="1210" spans="1:8" x14ac:dyDescent="0.3">
      <c r="A1210" s="2">
        <v>46047</v>
      </c>
      <c r="B1210" t="s">
        <v>12</v>
      </c>
      <c r="C1210" t="s">
        <v>16</v>
      </c>
      <c r="D1210" t="s">
        <v>9</v>
      </c>
      <c r="E1210" t="s">
        <v>36</v>
      </c>
      <c r="F1210" t="s">
        <v>1230</v>
      </c>
      <c r="G1210">
        <v>9.9766999999999992</v>
      </c>
      <c r="H1210" t="str">
        <f t="shared" si="19"/>
        <v>ok</v>
      </c>
    </row>
    <row r="1211" spans="1:8" x14ac:dyDescent="0.3">
      <c r="A1211" s="2">
        <v>46047</v>
      </c>
      <c r="B1211" t="s">
        <v>7</v>
      </c>
      <c r="C1211" t="s">
        <v>8</v>
      </c>
      <c r="D1211" t="s">
        <v>9</v>
      </c>
      <c r="E1211" t="s">
        <v>10</v>
      </c>
      <c r="F1211" t="s">
        <v>1231</v>
      </c>
      <c r="G1211">
        <v>9.9967000000000006</v>
      </c>
      <c r="H1211" t="str">
        <f t="shared" si="19"/>
        <v>ok</v>
      </c>
    </row>
    <row r="1212" spans="1:8" x14ac:dyDescent="0.3">
      <c r="A1212" s="2">
        <v>46047</v>
      </c>
      <c r="B1212" t="s">
        <v>7</v>
      </c>
      <c r="C1212" t="s">
        <v>8</v>
      </c>
      <c r="D1212" t="s">
        <v>9</v>
      </c>
      <c r="E1212" t="s">
        <v>28</v>
      </c>
      <c r="F1212" t="s">
        <v>1232</v>
      </c>
      <c r="G1212">
        <v>10.0246</v>
      </c>
      <c r="H1212" t="str">
        <f t="shared" si="19"/>
        <v>ok</v>
      </c>
    </row>
    <row r="1213" spans="1:8" x14ac:dyDescent="0.3">
      <c r="A1213" s="2">
        <v>46047</v>
      </c>
      <c r="B1213" t="s">
        <v>23</v>
      </c>
      <c r="C1213" t="s">
        <v>8</v>
      </c>
      <c r="D1213" t="s">
        <v>13</v>
      </c>
      <c r="E1213" t="s">
        <v>21</v>
      </c>
      <c r="F1213" t="s">
        <v>1233</v>
      </c>
      <c r="G1213">
        <v>9.9880999999999993</v>
      </c>
      <c r="H1213" t="str">
        <f t="shared" si="19"/>
        <v>ok</v>
      </c>
    </row>
    <row r="1214" spans="1:8" x14ac:dyDescent="0.3">
      <c r="A1214" s="2">
        <v>46047</v>
      </c>
      <c r="B1214" t="s">
        <v>7</v>
      </c>
      <c r="C1214" t="s">
        <v>19</v>
      </c>
      <c r="D1214" t="s">
        <v>13</v>
      </c>
      <c r="E1214" t="s">
        <v>10</v>
      </c>
      <c r="F1214" t="s">
        <v>1234</v>
      </c>
      <c r="G1214">
        <v>9.9948999999999995</v>
      </c>
      <c r="H1214" t="str">
        <f t="shared" si="19"/>
        <v>ok</v>
      </c>
    </row>
    <row r="1215" spans="1:8" x14ac:dyDescent="0.3">
      <c r="A1215" s="2">
        <v>46047</v>
      </c>
      <c r="B1215" t="s">
        <v>12</v>
      </c>
      <c r="C1215" t="s">
        <v>19</v>
      </c>
      <c r="D1215" t="s">
        <v>9</v>
      </c>
      <c r="E1215" t="s">
        <v>36</v>
      </c>
      <c r="F1215" t="s">
        <v>1235</v>
      </c>
      <c r="G1215">
        <v>10.083</v>
      </c>
      <c r="H1215" t="str">
        <f t="shared" si="19"/>
        <v>ok</v>
      </c>
    </row>
    <row r="1216" spans="1:8" x14ac:dyDescent="0.3">
      <c r="A1216" s="2">
        <v>46047</v>
      </c>
      <c r="B1216" t="s">
        <v>7</v>
      </c>
      <c r="C1216" t="s">
        <v>16</v>
      </c>
      <c r="D1216" t="s">
        <v>9</v>
      </c>
      <c r="E1216" t="s">
        <v>28</v>
      </c>
      <c r="F1216" t="s">
        <v>1236</v>
      </c>
      <c r="G1216">
        <v>10.0093</v>
      </c>
      <c r="H1216" t="str">
        <f t="shared" si="19"/>
        <v>ok</v>
      </c>
    </row>
    <row r="1217" spans="1:8" x14ac:dyDescent="0.3">
      <c r="A1217" s="2">
        <v>46047</v>
      </c>
      <c r="B1217" t="s">
        <v>7</v>
      </c>
      <c r="C1217" t="s">
        <v>19</v>
      </c>
      <c r="D1217" t="s">
        <v>34</v>
      </c>
      <c r="E1217" t="s">
        <v>36</v>
      </c>
      <c r="F1217" t="s">
        <v>1237</v>
      </c>
      <c r="G1217">
        <v>9.9854000000000003</v>
      </c>
      <c r="H1217" t="str">
        <f t="shared" si="19"/>
        <v>ok</v>
      </c>
    </row>
    <row r="1218" spans="1:8" x14ac:dyDescent="0.3">
      <c r="A1218" s="2">
        <v>46047</v>
      </c>
      <c r="B1218" t="s">
        <v>23</v>
      </c>
      <c r="C1218" t="s">
        <v>8</v>
      </c>
      <c r="D1218" t="s">
        <v>34</v>
      </c>
      <c r="E1218" t="s">
        <v>36</v>
      </c>
      <c r="F1218" t="s">
        <v>1238</v>
      </c>
      <c r="G1218">
        <v>9.9741</v>
      </c>
      <c r="H1218" t="str">
        <f t="shared" si="19"/>
        <v>ok</v>
      </c>
    </row>
    <row r="1219" spans="1:8" x14ac:dyDescent="0.3">
      <c r="A1219" s="2">
        <v>46047</v>
      </c>
      <c r="B1219" t="s">
        <v>23</v>
      </c>
      <c r="C1219" t="s">
        <v>8</v>
      </c>
      <c r="D1219" t="s">
        <v>34</v>
      </c>
      <c r="E1219" t="s">
        <v>36</v>
      </c>
      <c r="F1219" t="s">
        <v>1239</v>
      </c>
      <c r="G1219">
        <v>9.9646000000000008</v>
      </c>
      <c r="H1219" t="str">
        <f t="shared" si="19"/>
        <v>ok</v>
      </c>
    </row>
    <row r="1220" spans="1:8" x14ac:dyDescent="0.3">
      <c r="A1220" s="2">
        <v>46047</v>
      </c>
      <c r="B1220" t="s">
        <v>12</v>
      </c>
      <c r="C1220" t="s">
        <v>19</v>
      </c>
      <c r="D1220" t="s">
        <v>34</v>
      </c>
      <c r="E1220" t="s">
        <v>10</v>
      </c>
      <c r="F1220" t="s">
        <v>1240</v>
      </c>
      <c r="G1220">
        <v>10.0047</v>
      </c>
      <c r="H1220" t="str">
        <f t="shared" si="19"/>
        <v>ok</v>
      </c>
    </row>
    <row r="1221" spans="1:8" x14ac:dyDescent="0.3">
      <c r="A1221" s="2">
        <v>46047</v>
      </c>
      <c r="B1221" t="s">
        <v>12</v>
      </c>
      <c r="C1221" t="s">
        <v>16</v>
      </c>
      <c r="D1221" t="s">
        <v>9</v>
      </c>
      <c r="E1221" t="s">
        <v>36</v>
      </c>
      <c r="F1221" t="s">
        <v>1241</v>
      </c>
      <c r="G1221">
        <v>10.005100000000001</v>
      </c>
      <c r="H1221" t="str">
        <f t="shared" si="19"/>
        <v>ok</v>
      </c>
    </row>
    <row r="1222" spans="1:8" x14ac:dyDescent="0.3">
      <c r="A1222" s="2">
        <v>46047</v>
      </c>
      <c r="B1222" t="s">
        <v>23</v>
      </c>
      <c r="C1222" t="s">
        <v>8</v>
      </c>
      <c r="D1222" t="s">
        <v>17</v>
      </c>
      <c r="E1222" t="s">
        <v>28</v>
      </c>
      <c r="F1222" t="s">
        <v>1242</v>
      </c>
      <c r="G1222">
        <v>9.9807000000000006</v>
      </c>
      <c r="H1222" t="str">
        <f t="shared" ref="H1222:H1285" si="20">IF(OR(G1222&gt;10.5,G1222&lt;9.95),"Defect","ok")</f>
        <v>ok</v>
      </c>
    </row>
    <row r="1223" spans="1:8" x14ac:dyDescent="0.3">
      <c r="A1223" s="2">
        <v>46047</v>
      </c>
      <c r="B1223" t="s">
        <v>7</v>
      </c>
      <c r="C1223" t="s">
        <v>8</v>
      </c>
      <c r="D1223" t="s">
        <v>17</v>
      </c>
      <c r="E1223" t="s">
        <v>10</v>
      </c>
      <c r="F1223" t="s">
        <v>1243</v>
      </c>
      <c r="G1223">
        <v>9.9977</v>
      </c>
      <c r="H1223" t="str">
        <f t="shared" si="20"/>
        <v>ok</v>
      </c>
    </row>
    <row r="1224" spans="1:8" x14ac:dyDescent="0.3">
      <c r="A1224" s="2">
        <v>46047</v>
      </c>
      <c r="B1224" t="s">
        <v>23</v>
      </c>
      <c r="C1224" t="s">
        <v>19</v>
      </c>
      <c r="D1224" t="s">
        <v>13</v>
      </c>
      <c r="E1224" t="s">
        <v>21</v>
      </c>
      <c r="F1224" t="s">
        <v>1244</v>
      </c>
      <c r="G1224">
        <v>9.9895999999999994</v>
      </c>
      <c r="H1224" t="str">
        <f t="shared" si="20"/>
        <v>ok</v>
      </c>
    </row>
    <row r="1225" spans="1:8" x14ac:dyDescent="0.3">
      <c r="A1225" s="2">
        <v>46047</v>
      </c>
      <c r="B1225" t="s">
        <v>7</v>
      </c>
      <c r="C1225" t="s">
        <v>19</v>
      </c>
      <c r="D1225" t="s">
        <v>34</v>
      </c>
      <c r="E1225" t="s">
        <v>28</v>
      </c>
      <c r="F1225" t="s">
        <v>1245</v>
      </c>
      <c r="G1225">
        <v>10.015700000000001</v>
      </c>
      <c r="H1225" t="str">
        <f t="shared" si="20"/>
        <v>ok</v>
      </c>
    </row>
    <row r="1226" spans="1:8" x14ac:dyDescent="0.3">
      <c r="A1226" s="2">
        <v>46047</v>
      </c>
      <c r="B1226" t="s">
        <v>23</v>
      </c>
      <c r="C1226" t="s">
        <v>16</v>
      </c>
      <c r="D1226" t="s">
        <v>13</v>
      </c>
      <c r="E1226" t="s">
        <v>14</v>
      </c>
      <c r="F1226" t="s">
        <v>1246</v>
      </c>
      <c r="G1226">
        <v>9.9986999999999995</v>
      </c>
      <c r="H1226" t="str">
        <f t="shared" si="20"/>
        <v>ok</v>
      </c>
    </row>
    <row r="1227" spans="1:8" x14ac:dyDescent="0.3">
      <c r="A1227" s="2">
        <v>46047</v>
      </c>
      <c r="B1227" t="s">
        <v>12</v>
      </c>
      <c r="C1227" t="s">
        <v>19</v>
      </c>
      <c r="D1227" t="s">
        <v>34</v>
      </c>
      <c r="E1227" t="s">
        <v>10</v>
      </c>
      <c r="F1227" t="s">
        <v>1247</v>
      </c>
      <c r="G1227">
        <v>10.0631</v>
      </c>
      <c r="H1227" t="str">
        <f t="shared" si="20"/>
        <v>ok</v>
      </c>
    </row>
    <row r="1228" spans="1:8" x14ac:dyDescent="0.3">
      <c r="A1228" s="2">
        <v>46047</v>
      </c>
      <c r="B1228" t="s">
        <v>12</v>
      </c>
      <c r="C1228" t="s">
        <v>16</v>
      </c>
      <c r="D1228" t="s">
        <v>9</v>
      </c>
      <c r="E1228" t="s">
        <v>36</v>
      </c>
      <c r="F1228" t="s">
        <v>1248</v>
      </c>
      <c r="G1228">
        <v>10.030799999999999</v>
      </c>
      <c r="H1228" t="str">
        <f t="shared" si="20"/>
        <v>ok</v>
      </c>
    </row>
    <row r="1229" spans="1:8" x14ac:dyDescent="0.3">
      <c r="A1229" s="2">
        <v>46047</v>
      </c>
      <c r="B1229" t="s">
        <v>23</v>
      </c>
      <c r="C1229" t="s">
        <v>19</v>
      </c>
      <c r="D1229" t="s">
        <v>17</v>
      </c>
      <c r="E1229" t="s">
        <v>36</v>
      </c>
      <c r="F1229" t="s">
        <v>1249</v>
      </c>
      <c r="G1229">
        <v>10.020899999999999</v>
      </c>
      <c r="H1229" t="str">
        <f t="shared" si="20"/>
        <v>ok</v>
      </c>
    </row>
    <row r="1230" spans="1:8" x14ac:dyDescent="0.3">
      <c r="A1230" s="2">
        <v>46047</v>
      </c>
      <c r="B1230" t="s">
        <v>12</v>
      </c>
      <c r="C1230" t="s">
        <v>8</v>
      </c>
      <c r="D1230" t="s">
        <v>13</v>
      </c>
      <c r="E1230" t="s">
        <v>21</v>
      </c>
      <c r="F1230" t="s">
        <v>1250</v>
      </c>
      <c r="G1230">
        <v>10.023899999999999</v>
      </c>
      <c r="H1230" t="str">
        <f t="shared" si="20"/>
        <v>ok</v>
      </c>
    </row>
    <row r="1231" spans="1:8" x14ac:dyDescent="0.3">
      <c r="A1231" s="2">
        <v>46047</v>
      </c>
      <c r="B1231" t="s">
        <v>7</v>
      </c>
      <c r="C1231" t="s">
        <v>8</v>
      </c>
      <c r="D1231" t="s">
        <v>34</v>
      </c>
      <c r="E1231" t="s">
        <v>10</v>
      </c>
      <c r="F1231" t="s">
        <v>1251</v>
      </c>
      <c r="G1231">
        <v>9.9829000000000008</v>
      </c>
      <c r="H1231" t="str">
        <f t="shared" si="20"/>
        <v>ok</v>
      </c>
    </row>
    <row r="1232" spans="1:8" x14ac:dyDescent="0.3">
      <c r="A1232" s="2">
        <v>46047</v>
      </c>
      <c r="B1232" t="s">
        <v>23</v>
      </c>
      <c r="C1232" t="s">
        <v>8</v>
      </c>
      <c r="D1232" t="s">
        <v>34</v>
      </c>
      <c r="E1232" t="s">
        <v>21</v>
      </c>
      <c r="F1232" t="s">
        <v>1252</v>
      </c>
      <c r="G1232">
        <v>9.9962</v>
      </c>
      <c r="H1232" t="str">
        <f t="shared" si="20"/>
        <v>ok</v>
      </c>
    </row>
    <row r="1233" spans="1:8" x14ac:dyDescent="0.3">
      <c r="A1233" s="2">
        <v>46047</v>
      </c>
      <c r="B1233" t="s">
        <v>23</v>
      </c>
      <c r="C1233" t="s">
        <v>8</v>
      </c>
      <c r="D1233" t="s">
        <v>9</v>
      </c>
      <c r="E1233" t="s">
        <v>36</v>
      </c>
      <c r="F1233" t="s">
        <v>1253</v>
      </c>
      <c r="G1233">
        <v>9.9680999999999997</v>
      </c>
      <c r="H1233" t="str">
        <f t="shared" si="20"/>
        <v>ok</v>
      </c>
    </row>
    <row r="1234" spans="1:8" x14ac:dyDescent="0.3">
      <c r="A1234" s="2">
        <v>46047</v>
      </c>
      <c r="B1234" t="s">
        <v>12</v>
      </c>
      <c r="C1234" t="s">
        <v>16</v>
      </c>
      <c r="D1234" t="s">
        <v>9</v>
      </c>
      <c r="E1234" t="s">
        <v>36</v>
      </c>
      <c r="F1234" t="s">
        <v>1254</v>
      </c>
      <c r="G1234">
        <v>10.041700000000001</v>
      </c>
      <c r="H1234" t="str">
        <f t="shared" si="20"/>
        <v>ok</v>
      </c>
    </row>
    <row r="1235" spans="1:8" x14ac:dyDescent="0.3">
      <c r="A1235" s="2">
        <v>46047</v>
      </c>
      <c r="B1235" t="s">
        <v>23</v>
      </c>
      <c r="C1235" t="s">
        <v>19</v>
      </c>
      <c r="D1235" t="s">
        <v>34</v>
      </c>
      <c r="E1235" t="s">
        <v>21</v>
      </c>
      <c r="F1235" t="s">
        <v>1255</v>
      </c>
      <c r="G1235">
        <v>9.9815000000000005</v>
      </c>
      <c r="H1235" t="str">
        <f t="shared" si="20"/>
        <v>ok</v>
      </c>
    </row>
    <row r="1236" spans="1:8" x14ac:dyDescent="0.3">
      <c r="A1236" s="2">
        <v>46047</v>
      </c>
      <c r="B1236" t="s">
        <v>7</v>
      </c>
      <c r="C1236" t="s">
        <v>19</v>
      </c>
      <c r="D1236" t="s">
        <v>17</v>
      </c>
      <c r="E1236" t="s">
        <v>36</v>
      </c>
      <c r="F1236" t="s">
        <v>1256</v>
      </c>
      <c r="G1236">
        <v>9.9611000000000001</v>
      </c>
      <c r="H1236" t="str">
        <f t="shared" si="20"/>
        <v>ok</v>
      </c>
    </row>
    <row r="1237" spans="1:8" x14ac:dyDescent="0.3">
      <c r="A1237" s="2">
        <v>46047</v>
      </c>
      <c r="B1237" t="s">
        <v>7</v>
      </c>
      <c r="C1237" t="s">
        <v>19</v>
      </c>
      <c r="D1237" t="s">
        <v>13</v>
      </c>
      <c r="E1237" t="s">
        <v>21</v>
      </c>
      <c r="F1237" t="s">
        <v>1257</v>
      </c>
      <c r="G1237">
        <v>10.0131</v>
      </c>
      <c r="H1237" t="str">
        <f t="shared" si="20"/>
        <v>ok</v>
      </c>
    </row>
    <row r="1238" spans="1:8" x14ac:dyDescent="0.3">
      <c r="A1238" s="2">
        <v>46047</v>
      </c>
      <c r="B1238" t="s">
        <v>12</v>
      </c>
      <c r="C1238" t="s">
        <v>8</v>
      </c>
      <c r="D1238" t="s">
        <v>13</v>
      </c>
      <c r="E1238" t="s">
        <v>36</v>
      </c>
      <c r="F1238" t="s">
        <v>1258</v>
      </c>
      <c r="G1238">
        <v>10.036099999999999</v>
      </c>
      <c r="H1238" t="str">
        <f t="shared" si="20"/>
        <v>ok</v>
      </c>
    </row>
    <row r="1239" spans="1:8" x14ac:dyDescent="0.3">
      <c r="A1239" s="2">
        <v>46047</v>
      </c>
      <c r="B1239" t="s">
        <v>23</v>
      </c>
      <c r="C1239" t="s">
        <v>8</v>
      </c>
      <c r="D1239" t="s">
        <v>9</v>
      </c>
      <c r="E1239" t="s">
        <v>21</v>
      </c>
      <c r="F1239" t="s">
        <v>1259</v>
      </c>
      <c r="G1239">
        <v>9.9971999999999994</v>
      </c>
      <c r="H1239" t="str">
        <f t="shared" si="20"/>
        <v>ok</v>
      </c>
    </row>
    <row r="1240" spans="1:8" x14ac:dyDescent="0.3">
      <c r="A1240" s="2">
        <v>46047</v>
      </c>
      <c r="B1240" t="s">
        <v>7</v>
      </c>
      <c r="C1240" t="s">
        <v>16</v>
      </c>
      <c r="D1240" t="s">
        <v>9</v>
      </c>
      <c r="E1240" t="s">
        <v>10</v>
      </c>
      <c r="F1240" t="s">
        <v>1260</v>
      </c>
      <c r="G1240">
        <v>10.015499999999999</v>
      </c>
      <c r="H1240" t="str">
        <f t="shared" si="20"/>
        <v>ok</v>
      </c>
    </row>
    <row r="1241" spans="1:8" x14ac:dyDescent="0.3">
      <c r="A1241" s="2">
        <v>46047</v>
      </c>
      <c r="B1241" t="s">
        <v>7</v>
      </c>
      <c r="C1241" t="s">
        <v>19</v>
      </c>
      <c r="D1241" t="s">
        <v>9</v>
      </c>
      <c r="E1241" t="s">
        <v>21</v>
      </c>
      <c r="F1241" t="s">
        <v>1261</v>
      </c>
      <c r="G1241">
        <v>9.9662000000000006</v>
      </c>
      <c r="H1241" t="str">
        <f t="shared" si="20"/>
        <v>ok</v>
      </c>
    </row>
    <row r="1242" spans="1:8" x14ac:dyDescent="0.3">
      <c r="A1242" s="2">
        <v>46047</v>
      </c>
      <c r="B1242" t="s">
        <v>7</v>
      </c>
      <c r="C1242" t="s">
        <v>8</v>
      </c>
      <c r="D1242" t="s">
        <v>17</v>
      </c>
      <c r="E1242" t="s">
        <v>10</v>
      </c>
      <c r="F1242" t="s">
        <v>1262</v>
      </c>
      <c r="G1242">
        <v>9.9892000000000003</v>
      </c>
      <c r="H1242" t="str">
        <f t="shared" si="20"/>
        <v>ok</v>
      </c>
    </row>
    <row r="1243" spans="1:8" x14ac:dyDescent="0.3">
      <c r="A1243" s="2">
        <v>46047</v>
      </c>
      <c r="B1243" t="s">
        <v>7</v>
      </c>
      <c r="C1243" t="s">
        <v>8</v>
      </c>
      <c r="D1243" t="s">
        <v>17</v>
      </c>
      <c r="E1243" t="s">
        <v>14</v>
      </c>
      <c r="F1243" t="s">
        <v>1263</v>
      </c>
      <c r="G1243">
        <v>10.017300000000001</v>
      </c>
      <c r="H1243" t="str">
        <f t="shared" si="20"/>
        <v>ok</v>
      </c>
    </row>
    <row r="1244" spans="1:8" x14ac:dyDescent="0.3">
      <c r="A1244" s="2">
        <v>46047</v>
      </c>
      <c r="B1244" t="s">
        <v>7</v>
      </c>
      <c r="C1244" t="s">
        <v>16</v>
      </c>
      <c r="D1244" t="s">
        <v>9</v>
      </c>
      <c r="E1244" t="s">
        <v>36</v>
      </c>
      <c r="F1244" t="s">
        <v>1264</v>
      </c>
      <c r="G1244">
        <v>9.9821000000000009</v>
      </c>
      <c r="H1244" t="str">
        <f t="shared" si="20"/>
        <v>ok</v>
      </c>
    </row>
    <row r="1245" spans="1:8" x14ac:dyDescent="0.3">
      <c r="A1245" s="2">
        <v>46047</v>
      </c>
      <c r="B1245" t="s">
        <v>23</v>
      </c>
      <c r="C1245" t="s">
        <v>16</v>
      </c>
      <c r="D1245" t="s">
        <v>9</v>
      </c>
      <c r="E1245" t="s">
        <v>36</v>
      </c>
      <c r="F1245" t="s">
        <v>1265</v>
      </c>
      <c r="G1245">
        <v>9.9766999999999992</v>
      </c>
      <c r="H1245" t="str">
        <f t="shared" si="20"/>
        <v>ok</v>
      </c>
    </row>
    <row r="1246" spans="1:8" x14ac:dyDescent="0.3">
      <c r="A1246" s="2">
        <v>46047</v>
      </c>
      <c r="B1246" t="s">
        <v>7</v>
      </c>
      <c r="C1246" t="s">
        <v>8</v>
      </c>
      <c r="D1246" t="s">
        <v>13</v>
      </c>
      <c r="E1246" t="s">
        <v>21</v>
      </c>
      <c r="F1246" t="s">
        <v>1266</v>
      </c>
      <c r="G1246">
        <v>9.9795999999999996</v>
      </c>
      <c r="H1246" t="str">
        <f t="shared" si="20"/>
        <v>ok</v>
      </c>
    </row>
    <row r="1247" spans="1:8" x14ac:dyDescent="0.3">
      <c r="A1247" s="2">
        <v>46047</v>
      </c>
      <c r="B1247" t="s">
        <v>12</v>
      </c>
      <c r="C1247" t="s">
        <v>19</v>
      </c>
      <c r="D1247" t="s">
        <v>17</v>
      </c>
      <c r="E1247" t="s">
        <v>21</v>
      </c>
      <c r="F1247" t="s">
        <v>1267</v>
      </c>
      <c r="G1247">
        <v>9.9914000000000005</v>
      </c>
      <c r="H1247" t="str">
        <f t="shared" si="20"/>
        <v>ok</v>
      </c>
    </row>
    <row r="1248" spans="1:8" x14ac:dyDescent="0.3">
      <c r="A1248" s="2">
        <v>46047</v>
      </c>
      <c r="B1248" t="s">
        <v>7</v>
      </c>
      <c r="C1248" t="s">
        <v>8</v>
      </c>
      <c r="D1248" t="s">
        <v>34</v>
      </c>
      <c r="E1248" t="s">
        <v>28</v>
      </c>
      <c r="F1248" t="s">
        <v>1268</v>
      </c>
      <c r="G1248">
        <v>10.0138</v>
      </c>
      <c r="H1248" t="str">
        <f t="shared" si="20"/>
        <v>ok</v>
      </c>
    </row>
    <row r="1249" spans="1:8" x14ac:dyDescent="0.3">
      <c r="A1249" s="2">
        <v>46047</v>
      </c>
      <c r="B1249" t="s">
        <v>12</v>
      </c>
      <c r="C1249" t="s">
        <v>8</v>
      </c>
      <c r="D1249" t="s">
        <v>13</v>
      </c>
      <c r="E1249" t="s">
        <v>21</v>
      </c>
      <c r="F1249" t="s">
        <v>1269</v>
      </c>
      <c r="G1249">
        <v>9.9821000000000009</v>
      </c>
      <c r="H1249" t="str">
        <f t="shared" si="20"/>
        <v>ok</v>
      </c>
    </row>
    <row r="1250" spans="1:8" x14ac:dyDescent="0.3">
      <c r="A1250" s="2">
        <v>46047</v>
      </c>
      <c r="B1250" t="s">
        <v>7</v>
      </c>
      <c r="C1250" t="s">
        <v>8</v>
      </c>
      <c r="D1250" t="s">
        <v>13</v>
      </c>
      <c r="E1250" t="s">
        <v>14</v>
      </c>
      <c r="F1250" t="s">
        <v>1270</v>
      </c>
      <c r="G1250">
        <v>9.9730000000000008</v>
      </c>
      <c r="H1250" t="str">
        <f t="shared" si="20"/>
        <v>ok</v>
      </c>
    </row>
    <row r="1251" spans="1:8" x14ac:dyDescent="0.3">
      <c r="A1251" s="2">
        <v>46047</v>
      </c>
      <c r="B1251" t="s">
        <v>12</v>
      </c>
      <c r="C1251" t="s">
        <v>19</v>
      </c>
      <c r="D1251" t="s">
        <v>17</v>
      </c>
      <c r="E1251" t="s">
        <v>21</v>
      </c>
      <c r="F1251" t="s">
        <v>1271</v>
      </c>
      <c r="G1251">
        <v>10.0586</v>
      </c>
      <c r="H1251" t="str">
        <f t="shared" si="20"/>
        <v>ok</v>
      </c>
    </row>
    <row r="1252" spans="1:8" x14ac:dyDescent="0.3">
      <c r="A1252" s="2">
        <v>46048</v>
      </c>
      <c r="B1252" t="s">
        <v>12</v>
      </c>
      <c r="C1252" t="s">
        <v>16</v>
      </c>
      <c r="D1252" t="s">
        <v>34</v>
      </c>
      <c r="E1252" t="s">
        <v>28</v>
      </c>
      <c r="F1252" t="s">
        <v>1272</v>
      </c>
      <c r="G1252">
        <v>10.073</v>
      </c>
      <c r="H1252" t="str">
        <f t="shared" si="20"/>
        <v>ok</v>
      </c>
    </row>
    <row r="1253" spans="1:8" x14ac:dyDescent="0.3">
      <c r="A1253" s="2">
        <v>46048</v>
      </c>
      <c r="B1253" t="s">
        <v>23</v>
      </c>
      <c r="C1253" t="s">
        <v>8</v>
      </c>
      <c r="D1253" t="s">
        <v>9</v>
      </c>
      <c r="E1253" t="s">
        <v>21</v>
      </c>
      <c r="F1253" t="s">
        <v>1273</v>
      </c>
      <c r="G1253">
        <v>9.9967000000000006</v>
      </c>
      <c r="H1253" t="str">
        <f t="shared" si="20"/>
        <v>ok</v>
      </c>
    </row>
    <row r="1254" spans="1:8" x14ac:dyDescent="0.3">
      <c r="A1254" s="2">
        <v>46048</v>
      </c>
      <c r="B1254" t="s">
        <v>23</v>
      </c>
      <c r="C1254" t="s">
        <v>19</v>
      </c>
      <c r="D1254" t="s">
        <v>13</v>
      </c>
      <c r="E1254" t="s">
        <v>36</v>
      </c>
      <c r="F1254" t="s">
        <v>1274</v>
      </c>
      <c r="G1254">
        <v>9.9586000000000006</v>
      </c>
      <c r="H1254" t="str">
        <f t="shared" si="20"/>
        <v>ok</v>
      </c>
    </row>
    <row r="1255" spans="1:8" x14ac:dyDescent="0.3">
      <c r="A1255" s="2">
        <v>46048</v>
      </c>
      <c r="B1255" t="s">
        <v>23</v>
      </c>
      <c r="C1255" t="s">
        <v>8</v>
      </c>
      <c r="D1255" t="s">
        <v>34</v>
      </c>
      <c r="E1255" t="s">
        <v>21</v>
      </c>
      <c r="F1255" t="s">
        <v>1275</v>
      </c>
      <c r="G1255">
        <v>9.9614999999999991</v>
      </c>
      <c r="H1255" t="str">
        <f t="shared" si="20"/>
        <v>ok</v>
      </c>
    </row>
    <row r="1256" spans="1:8" x14ac:dyDescent="0.3">
      <c r="A1256" s="2">
        <v>46048</v>
      </c>
      <c r="B1256" t="s">
        <v>23</v>
      </c>
      <c r="C1256" t="s">
        <v>19</v>
      </c>
      <c r="D1256" t="s">
        <v>13</v>
      </c>
      <c r="E1256" t="s">
        <v>10</v>
      </c>
      <c r="F1256" t="s">
        <v>1276</v>
      </c>
      <c r="G1256">
        <v>9.9901999999999997</v>
      </c>
      <c r="H1256" t="str">
        <f t="shared" si="20"/>
        <v>ok</v>
      </c>
    </row>
    <row r="1257" spans="1:8" x14ac:dyDescent="0.3">
      <c r="A1257" s="2">
        <v>46048</v>
      </c>
      <c r="B1257" t="s">
        <v>7</v>
      </c>
      <c r="C1257" t="s">
        <v>19</v>
      </c>
      <c r="D1257" t="s">
        <v>34</v>
      </c>
      <c r="E1257" t="s">
        <v>28</v>
      </c>
      <c r="F1257" t="s">
        <v>1277</v>
      </c>
      <c r="G1257">
        <v>10.0221</v>
      </c>
      <c r="H1257" t="str">
        <f t="shared" si="20"/>
        <v>ok</v>
      </c>
    </row>
    <row r="1258" spans="1:8" x14ac:dyDescent="0.3">
      <c r="A1258" s="2">
        <v>46048</v>
      </c>
      <c r="B1258" t="s">
        <v>12</v>
      </c>
      <c r="C1258" t="s">
        <v>19</v>
      </c>
      <c r="D1258" t="s">
        <v>13</v>
      </c>
      <c r="E1258" t="s">
        <v>10</v>
      </c>
      <c r="F1258" t="s">
        <v>1278</v>
      </c>
      <c r="G1258">
        <v>10.006500000000001</v>
      </c>
      <c r="H1258" t="str">
        <f t="shared" si="20"/>
        <v>ok</v>
      </c>
    </row>
    <row r="1259" spans="1:8" x14ac:dyDescent="0.3">
      <c r="A1259" s="2">
        <v>46048</v>
      </c>
      <c r="B1259" t="s">
        <v>7</v>
      </c>
      <c r="C1259" t="s">
        <v>19</v>
      </c>
      <c r="D1259" t="s">
        <v>13</v>
      </c>
      <c r="E1259" t="s">
        <v>10</v>
      </c>
      <c r="F1259" t="s">
        <v>1279</v>
      </c>
      <c r="G1259">
        <v>10.012499999999999</v>
      </c>
      <c r="H1259" t="str">
        <f t="shared" si="20"/>
        <v>ok</v>
      </c>
    </row>
    <row r="1260" spans="1:8" x14ac:dyDescent="0.3">
      <c r="A1260" s="2">
        <v>46048</v>
      </c>
      <c r="B1260" t="s">
        <v>23</v>
      </c>
      <c r="C1260" t="s">
        <v>19</v>
      </c>
      <c r="D1260" t="s">
        <v>34</v>
      </c>
      <c r="E1260" t="s">
        <v>28</v>
      </c>
      <c r="F1260" t="s">
        <v>1280</v>
      </c>
      <c r="G1260">
        <v>10.006500000000001</v>
      </c>
      <c r="H1260" t="str">
        <f t="shared" si="20"/>
        <v>ok</v>
      </c>
    </row>
    <row r="1261" spans="1:8" x14ac:dyDescent="0.3">
      <c r="A1261" s="2">
        <v>46048</v>
      </c>
      <c r="B1261" t="s">
        <v>7</v>
      </c>
      <c r="C1261" t="s">
        <v>19</v>
      </c>
      <c r="D1261" t="s">
        <v>9</v>
      </c>
      <c r="E1261" t="s">
        <v>10</v>
      </c>
      <c r="F1261" t="s">
        <v>1281</v>
      </c>
      <c r="G1261">
        <v>10.009499999999999</v>
      </c>
      <c r="H1261" t="str">
        <f t="shared" si="20"/>
        <v>ok</v>
      </c>
    </row>
    <row r="1262" spans="1:8" x14ac:dyDescent="0.3">
      <c r="A1262" s="2">
        <v>46048</v>
      </c>
      <c r="B1262" t="s">
        <v>7</v>
      </c>
      <c r="C1262" t="s">
        <v>19</v>
      </c>
      <c r="D1262" t="s">
        <v>13</v>
      </c>
      <c r="E1262" t="s">
        <v>21</v>
      </c>
      <c r="F1262" t="s">
        <v>1282</v>
      </c>
      <c r="G1262">
        <v>9.9928000000000008</v>
      </c>
      <c r="H1262" t="str">
        <f t="shared" si="20"/>
        <v>ok</v>
      </c>
    </row>
    <row r="1263" spans="1:8" x14ac:dyDescent="0.3">
      <c r="A1263" s="2">
        <v>46048</v>
      </c>
      <c r="B1263" t="s">
        <v>7</v>
      </c>
      <c r="C1263" t="s">
        <v>8</v>
      </c>
      <c r="D1263" t="s">
        <v>13</v>
      </c>
      <c r="E1263" t="s">
        <v>36</v>
      </c>
      <c r="F1263" t="s">
        <v>1283</v>
      </c>
      <c r="G1263">
        <v>10.0221</v>
      </c>
      <c r="H1263" t="str">
        <f t="shared" si="20"/>
        <v>ok</v>
      </c>
    </row>
    <row r="1264" spans="1:8" x14ac:dyDescent="0.3">
      <c r="A1264" s="2">
        <v>46048</v>
      </c>
      <c r="B1264" t="s">
        <v>23</v>
      </c>
      <c r="C1264" t="s">
        <v>19</v>
      </c>
      <c r="D1264" t="s">
        <v>13</v>
      </c>
      <c r="E1264" t="s">
        <v>10</v>
      </c>
      <c r="F1264" t="s">
        <v>1284</v>
      </c>
      <c r="G1264">
        <v>9.9740000000000002</v>
      </c>
      <c r="H1264" t="str">
        <f t="shared" si="20"/>
        <v>ok</v>
      </c>
    </row>
    <row r="1265" spans="1:8" x14ac:dyDescent="0.3">
      <c r="A1265" s="2">
        <v>46048</v>
      </c>
      <c r="B1265" t="s">
        <v>23</v>
      </c>
      <c r="C1265" t="s">
        <v>19</v>
      </c>
      <c r="D1265" t="s">
        <v>9</v>
      </c>
      <c r="E1265" t="s">
        <v>14</v>
      </c>
      <c r="F1265" t="s">
        <v>1285</v>
      </c>
      <c r="G1265">
        <v>9.9910999999999994</v>
      </c>
      <c r="H1265" t="str">
        <f t="shared" si="20"/>
        <v>ok</v>
      </c>
    </row>
    <row r="1266" spans="1:8" x14ac:dyDescent="0.3">
      <c r="A1266" s="2">
        <v>46048</v>
      </c>
      <c r="B1266" t="s">
        <v>7</v>
      </c>
      <c r="C1266" t="s">
        <v>8</v>
      </c>
      <c r="D1266" t="s">
        <v>13</v>
      </c>
      <c r="E1266" t="s">
        <v>14</v>
      </c>
      <c r="F1266" t="s">
        <v>1286</v>
      </c>
      <c r="G1266">
        <v>9.9816000000000003</v>
      </c>
      <c r="H1266" t="str">
        <f t="shared" si="20"/>
        <v>ok</v>
      </c>
    </row>
    <row r="1267" spans="1:8" x14ac:dyDescent="0.3">
      <c r="A1267" s="2">
        <v>46048</v>
      </c>
      <c r="B1267" t="s">
        <v>12</v>
      </c>
      <c r="C1267" t="s">
        <v>8</v>
      </c>
      <c r="D1267" t="s">
        <v>9</v>
      </c>
      <c r="E1267" t="s">
        <v>14</v>
      </c>
      <c r="F1267" t="s">
        <v>1287</v>
      </c>
      <c r="G1267">
        <v>10.034800000000001</v>
      </c>
      <c r="H1267" t="str">
        <f t="shared" si="20"/>
        <v>ok</v>
      </c>
    </row>
    <row r="1268" spans="1:8" x14ac:dyDescent="0.3">
      <c r="A1268" s="2">
        <v>46048</v>
      </c>
      <c r="B1268" t="s">
        <v>12</v>
      </c>
      <c r="C1268" t="s">
        <v>16</v>
      </c>
      <c r="D1268" t="s">
        <v>9</v>
      </c>
      <c r="E1268" t="s">
        <v>28</v>
      </c>
      <c r="F1268" t="s">
        <v>1288</v>
      </c>
      <c r="G1268">
        <v>9.9986999999999995</v>
      </c>
      <c r="H1268" t="str">
        <f t="shared" si="20"/>
        <v>ok</v>
      </c>
    </row>
    <row r="1269" spans="1:8" x14ac:dyDescent="0.3">
      <c r="A1269" s="2">
        <v>46048</v>
      </c>
      <c r="B1269" t="s">
        <v>7</v>
      </c>
      <c r="C1269" t="s">
        <v>19</v>
      </c>
      <c r="D1269" t="s">
        <v>17</v>
      </c>
      <c r="E1269" t="s">
        <v>14</v>
      </c>
      <c r="F1269" t="s">
        <v>1289</v>
      </c>
      <c r="G1269">
        <v>9.9978999999999996</v>
      </c>
      <c r="H1269" t="str">
        <f t="shared" si="20"/>
        <v>ok</v>
      </c>
    </row>
    <row r="1270" spans="1:8" x14ac:dyDescent="0.3">
      <c r="A1270" s="2">
        <v>46048</v>
      </c>
      <c r="B1270" t="s">
        <v>23</v>
      </c>
      <c r="C1270" t="s">
        <v>8</v>
      </c>
      <c r="D1270" t="s">
        <v>13</v>
      </c>
      <c r="E1270" t="s">
        <v>10</v>
      </c>
      <c r="F1270" t="s">
        <v>1290</v>
      </c>
      <c r="G1270">
        <v>9.9740000000000002</v>
      </c>
      <c r="H1270" t="str">
        <f t="shared" si="20"/>
        <v>ok</v>
      </c>
    </row>
    <row r="1271" spans="1:8" x14ac:dyDescent="0.3">
      <c r="A1271" s="2">
        <v>46048</v>
      </c>
      <c r="B1271" t="s">
        <v>7</v>
      </c>
      <c r="C1271" t="s">
        <v>16</v>
      </c>
      <c r="D1271" t="s">
        <v>17</v>
      </c>
      <c r="E1271" t="s">
        <v>28</v>
      </c>
      <c r="F1271" t="s">
        <v>1291</v>
      </c>
      <c r="G1271">
        <v>10.0129</v>
      </c>
      <c r="H1271" t="str">
        <f t="shared" si="20"/>
        <v>ok</v>
      </c>
    </row>
    <row r="1272" spans="1:8" x14ac:dyDescent="0.3">
      <c r="A1272" s="2">
        <v>46048</v>
      </c>
      <c r="B1272" t="s">
        <v>23</v>
      </c>
      <c r="C1272" t="s">
        <v>16</v>
      </c>
      <c r="D1272" t="s">
        <v>34</v>
      </c>
      <c r="E1272" t="s">
        <v>14</v>
      </c>
      <c r="F1272" t="s">
        <v>1292</v>
      </c>
      <c r="G1272">
        <v>10.0024</v>
      </c>
      <c r="H1272" t="str">
        <f t="shared" si="20"/>
        <v>ok</v>
      </c>
    </row>
    <row r="1273" spans="1:8" x14ac:dyDescent="0.3">
      <c r="A1273" s="2">
        <v>46048</v>
      </c>
      <c r="B1273" t="s">
        <v>12</v>
      </c>
      <c r="C1273" t="s">
        <v>16</v>
      </c>
      <c r="D1273" t="s">
        <v>9</v>
      </c>
      <c r="E1273" t="s">
        <v>10</v>
      </c>
      <c r="F1273" t="s">
        <v>1293</v>
      </c>
      <c r="G1273">
        <v>9.9868000000000006</v>
      </c>
      <c r="H1273" t="str">
        <f t="shared" si="20"/>
        <v>ok</v>
      </c>
    </row>
    <row r="1274" spans="1:8" x14ac:dyDescent="0.3">
      <c r="A1274" s="2">
        <v>46048</v>
      </c>
      <c r="B1274" t="s">
        <v>23</v>
      </c>
      <c r="C1274" t="s">
        <v>19</v>
      </c>
      <c r="D1274" t="s">
        <v>17</v>
      </c>
      <c r="E1274" t="s">
        <v>14</v>
      </c>
      <c r="F1274" t="s">
        <v>1294</v>
      </c>
      <c r="G1274">
        <v>10.0206</v>
      </c>
      <c r="H1274" t="str">
        <f t="shared" si="20"/>
        <v>ok</v>
      </c>
    </row>
    <row r="1275" spans="1:8" x14ac:dyDescent="0.3">
      <c r="A1275" s="2">
        <v>46048</v>
      </c>
      <c r="B1275" t="s">
        <v>23</v>
      </c>
      <c r="C1275" t="s">
        <v>16</v>
      </c>
      <c r="D1275" t="s">
        <v>9</v>
      </c>
      <c r="E1275" t="s">
        <v>28</v>
      </c>
      <c r="F1275" t="s">
        <v>1295</v>
      </c>
      <c r="G1275">
        <v>9.9794999999999998</v>
      </c>
      <c r="H1275" t="str">
        <f t="shared" si="20"/>
        <v>ok</v>
      </c>
    </row>
    <row r="1276" spans="1:8" x14ac:dyDescent="0.3">
      <c r="A1276" s="2">
        <v>46048</v>
      </c>
      <c r="B1276" t="s">
        <v>12</v>
      </c>
      <c r="C1276" t="s">
        <v>19</v>
      </c>
      <c r="D1276" t="s">
        <v>34</v>
      </c>
      <c r="E1276" t="s">
        <v>28</v>
      </c>
      <c r="F1276" t="s">
        <v>1296</v>
      </c>
      <c r="G1276">
        <v>10.049899999999999</v>
      </c>
      <c r="H1276" t="str">
        <f t="shared" si="20"/>
        <v>ok</v>
      </c>
    </row>
    <row r="1277" spans="1:8" x14ac:dyDescent="0.3">
      <c r="A1277" s="2">
        <v>46048</v>
      </c>
      <c r="B1277" t="s">
        <v>23</v>
      </c>
      <c r="C1277" t="s">
        <v>19</v>
      </c>
      <c r="D1277" t="s">
        <v>34</v>
      </c>
      <c r="E1277" t="s">
        <v>36</v>
      </c>
      <c r="F1277" t="s">
        <v>1297</v>
      </c>
      <c r="G1277">
        <v>10.0175</v>
      </c>
      <c r="H1277" t="str">
        <f t="shared" si="20"/>
        <v>ok</v>
      </c>
    </row>
    <row r="1278" spans="1:8" x14ac:dyDescent="0.3">
      <c r="A1278" s="2">
        <v>46048</v>
      </c>
      <c r="B1278" t="s">
        <v>23</v>
      </c>
      <c r="C1278" t="s">
        <v>16</v>
      </c>
      <c r="D1278" t="s">
        <v>9</v>
      </c>
      <c r="E1278" t="s">
        <v>28</v>
      </c>
      <c r="F1278" t="s">
        <v>1298</v>
      </c>
      <c r="G1278">
        <v>10.0229</v>
      </c>
      <c r="H1278" t="str">
        <f t="shared" si="20"/>
        <v>ok</v>
      </c>
    </row>
    <row r="1279" spans="1:8" x14ac:dyDescent="0.3">
      <c r="A1279" s="2">
        <v>46048</v>
      </c>
      <c r="B1279" t="s">
        <v>7</v>
      </c>
      <c r="C1279" t="s">
        <v>19</v>
      </c>
      <c r="D1279" t="s">
        <v>13</v>
      </c>
      <c r="E1279" t="s">
        <v>28</v>
      </c>
      <c r="F1279" t="s">
        <v>1299</v>
      </c>
      <c r="G1279">
        <v>9.9916</v>
      </c>
      <c r="H1279" t="str">
        <f t="shared" si="20"/>
        <v>ok</v>
      </c>
    </row>
    <row r="1280" spans="1:8" x14ac:dyDescent="0.3">
      <c r="A1280" s="2">
        <v>46048</v>
      </c>
      <c r="B1280" t="s">
        <v>23</v>
      </c>
      <c r="C1280" t="s">
        <v>8</v>
      </c>
      <c r="D1280" t="s">
        <v>17</v>
      </c>
      <c r="E1280" t="s">
        <v>36</v>
      </c>
      <c r="F1280" t="s">
        <v>1300</v>
      </c>
      <c r="G1280">
        <v>10.017300000000001</v>
      </c>
      <c r="H1280" t="str">
        <f t="shared" si="20"/>
        <v>ok</v>
      </c>
    </row>
    <row r="1281" spans="1:8" x14ac:dyDescent="0.3">
      <c r="A1281" s="2">
        <v>46048</v>
      </c>
      <c r="B1281" t="s">
        <v>7</v>
      </c>
      <c r="C1281" t="s">
        <v>8</v>
      </c>
      <c r="D1281" t="s">
        <v>13</v>
      </c>
      <c r="E1281" t="s">
        <v>10</v>
      </c>
      <c r="F1281" t="s">
        <v>1301</v>
      </c>
      <c r="G1281">
        <v>10.005800000000001</v>
      </c>
      <c r="H1281" t="str">
        <f t="shared" si="20"/>
        <v>ok</v>
      </c>
    </row>
    <row r="1282" spans="1:8" x14ac:dyDescent="0.3">
      <c r="A1282" s="2">
        <v>46048</v>
      </c>
      <c r="B1282" t="s">
        <v>7</v>
      </c>
      <c r="C1282" t="s">
        <v>8</v>
      </c>
      <c r="D1282" t="s">
        <v>34</v>
      </c>
      <c r="E1282" t="s">
        <v>21</v>
      </c>
      <c r="F1282" t="s">
        <v>1302</v>
      </c>
      <c r="G1282">
        <v>10.0009</v>
      </c>
      <c r="H1282" t="str">
        <f t="shared" si="20"/>
        <v>ok</v>
      </c>
    </row>
    <row r="1283" spans="1:8" x14ac:dyDescent="0.3">
      <c r="A1283" s="2">
        <v>46048</v>
      </c>
      <c r="B1283" t="s">
        <v>7</v>
      </c>
      <c r="C1283" t="s">
        <v>16</v>
      </c>
      <c r="D1283" t="s">
        <v>17</v>
      </c>
      <c r="E1283" t="s">
        <v>10</v>
      </c>
      <c r="F1283" t="s">
        <v>1303</v>
      </c>
      <c r="G1283">
        <v>10.0017</v>
      </c>
      <c r="H1283" t="str">
        <f t="shared" si="20"/>
        <v>ok</v>
      </c>
    </row>
    <row r="1284" spans="1:8" x14ac:dyDescent="0.3">
      <c r="A1284" s="2">
        <v>46048</v>
      </c>
      <c r="B1284" t="s">
        <v>23</v>
      </c>
      <c r="C1284" t="s">
        <v>16</v>
      </c>
      <c r="D1284" t="s">
        <v>13</v>
      </c>
      <c r="E1284" t="s">
        <v>36</v>
      </c>
      <c r="F1284" t="s">
        <v>1304</v>
      </c>
      <c r="G1284">
        <v>10.014200000000001</v>
      </c>
      <c r="H1284" t="str">
        <f t="shared" si="20"/>
        <v>ok</v>
      </c>
    </row>
    <row r="1285" spans="1:8" x14ac:dyDescent="0.3">
      <c r="A1285" s="2">
        <v>46048</v>
      </c>
      <c r="B1285" t="s">
        <v>12</v>
      </c>
      <c r="C1285" t="s">
        <v>16</v>
      </c>
      <c r="D1285" t="s">
        <v>17</v>
      </c>
      <c r="E1285" t="s">
        <v>14</v>
      </c>
      <c r="F1285" t="s">
        <v>1305</v>
      </c>
      <c r="G1285">
        <v>10.045400000000001</v>
      </c>
      <c r="H1285" t="str">
        <f t="shared" si="20"/>
        <v>ok</v>
      </c>
    </row>
    <row r="1286" spans="1:8" x14ac:dyDescent="0.3">
      <c r="A1286" s="2">
        <v>46048</v>
      </c>
      <c r="B1286" t="s">
        <v>7</v>
      </c>
      <c r="C1286" t="s">
        <v>19</v>
      </c>
      <c r="D1286" t="s">
        <v>13</v>
      </c>
      <c r="E1286" t="s">
        <v>28</v>
      </c>
      <c r="F1286" t="s">
        <v>1306</v>
      </c>
      <c r="G1286">
        <v>10.014099999999999</v>
      </c>
      <c r="H1286" t="str">
        <f t="shared" ref="H1286:H1349" si="21">IF(OR(G1286&gt;10.5,G1286&lt;9.95),"Defect","ok")</f>
        <v>ok</v>
      </c>
    </row>
    <row r="1287" spans="1:8" x14ac:dyDescent="0.3">
      <c r="A1287" s="2">
        <v>46048</v>
      </c>
      <c r="B1287" t="s">
        <v>23</v>
      </c>
      <c r="C1287" t="s">
        <v>19</v>
      </c>
      <c r="D1287" t="s">
        <v>9</v>
      </c>
      <c r="E1287" t="s">
        <v>36</v>
      </c>
      <c r="F1287" t="s">
        <v>1307</v>
      </c>
      <c r="G1287">
        <v>9.9794999999999998</v>
      </c>
      <c r="H1287" t="str">
        <f t="shared" si="21"/>
        <v>ok</v>
      </c>
    </row>
    <row r="1288" spans="1:8" x14ac:dyDescent="0.3">
      <c r="A1288" s="2">
        <v>46048</v>
      </c>
      <c r="B1288" t="s">
        <v>7</v>
      </c>
      <c r="C1288" t="s">
        <v>16</v>
      </c>
      <c r="D1288" t="s">
        <v>34</v>
      </c>
      <c r="E1288" t="s">
        <v>36</v>
      </c>
      <c r="F1288" t="s">
        <v>1308</v>
      </c>
      <c r="G1288">
        <v>10.016299999999999</v>
      </c>
      <c r="H1288" t="str">
        <f t="shared" si="21"/>
        <v>ok</v>
      </c>
    </row>
    <row r="1289" spans="1:8" x14ac:dyDescent="0.3">
      <c r="A1289" s="2">
        <v>46048</v>
      </c>
      <c r="B1289" t="s">
        <v>7</v>
      </c>
      <c r="C1289" t="s">
        <v>19</v>
      </c>
      <c r="D1289" t="s">
        <v>9</v>
      </c>
      <c r="E1289" t="s">
        <v>36</v>
      </c>
      <c r="F1289" t="s">
        <v>1309</v>
      </c>
      <c r="G1289">
        <v>9.9815000000000005</v>
      </c>
      <c r="H1289" t="str">
        <f t="shared" si="21"/>
        <v>ok</v>
      </c>
    </row>
    <row r="1290" spans="1:8" x14ac:dyDescent="0.3">
      <c r="A1290" s="2">
        <v>46048</v>
      </c>
      <c r="B1290" t="s">
        <v>7</v>
      </c>
      <c r="C1290" t="s">
        <v>16</v>
      </c>
      <c r="D1290" t="s">
        <v>9</v>
      </c>
      <c r="E1290" t="s">
        <v>21</v>
      </c>
      <c r="F1290" t="s">
        <v>1310</v>
      </c>
      <c r="G1290">
        <v>10.0016</v>
      </c>
      <c r="H1290" t="str">
        <f t="shared" si="21"/>
        <v>ok</v>
      </c>
    </row>
    <row r="1291" spans="1:8" x14ac:dyDescent="0.3">
      <c r="A1291" s="2">
        <v>46048</v>
      </c>
      <c r="B1291" t="s">
        <v>12</v>
      </c>
      <c r="C1291" t="s">
        <v>16</v>
      </c>
      <c r="D1291" t="s">
        <v>17</v>
      </c>
      <c r="E1291" t="s">
        <v>36</v>
      </c>
      <c r="F1291" t="s">
        <v>1311</v>
      </c>
      <c r="G1291">
        <v>10.010999999999999</v>
      </c>
      <c r="H1291" t="str">
        <f t="shared" si="21"/>
        <v>ok</v>
      </c>
    </row>
    <row r="1292" spans="1:8" x14ac:dyDescent="0.3">
      <c r="A1292" s="2">
        <v>46048</v>
      </c>
      <c r="B1292" t="s">
        <v>12</v>
      </c>
      <c r="C1292" t="s">
        <v>16</v>
      </c>
      <c r="D1292" t="s">
        <v>13</v>
      </c>
      <c r="E1292" t="s">
        <v>21</v>
      </c>
      <c r="F1292" t="s">
        <v>1312</v>
      </c>
      <c r="G1292">
        <v>10.0313</v>
      </c>
      <c r="H1292" t="str">
        <f t="shared" si="21"/>
        <v>ok</v>
      </c>
    </row>
    <row r="1293" spans="1:8" x14ac:dyDescent="0.3">
      <c r="A1293" s="2">
        <v>46048</v>
      </c>
      <c r="B1293" t="s">
        <v>7</v>
      </c>
      <c r="C1293" t="s">
        <v>19</v>
      </c>
      <c r="D1293" t="s">
        <v>9</v>
      </c>
      <c r="E1293" t="s">
        <v>28</v>
      </c>
      <c r="F1293" t="s">
        <v>1313</v>
      </c>
      <c r="G1293">
        <v>10.024100000000001</v>
      </c>
      <c r="H1293" t="str">
        <f t="shared" si="21"/>
        <v>ok</v>
      </c>
    </row>
    <row r="1294" spans="1:8" x14ac:dyDescent="0.3">
      <c r="A1294" s="2">
        <v>46048</v>
      </c>
      <c r="B1294" t="s">
        <v>7</v>
      </c>
      <c r="C1294" t="s">
        <v>19</v>
      </c>
      <c r="D1294" t="s">
        <v>17</v>
      </c>
      <c r="E1294" t="s">
        <v>10</v>
      </c>
      <c r="F1294" t="s">
        <v>1314</v>
      </c>
      <c r="G1294">
        <v>9.9952000000000005</v>
      </c>
      <c r="H1294" t="str">
        <f t="shared" si="21"/>
        <v>ok</v>
      </c>
    </row>
    <row r="1295" spans="1:8" x14ac:dyDescent="0.3">
      <c r="A1295" s="2">
        <v>46048</v>
      </c>
      <c r="B1295" t="s">
        <v>12</v>
      </c>
      <c r="C1295" t="s">
        <v>19</v>
      </c>
      <c r="D1295" t="s">
        <v>13</v>
      </c>
      <c r="E1295" t="s">
        <v>28</v>
      </c>
      <c r="F1295" t="s">
        <v>1315</v>
      </c>
      <c r="G1295">
        <v>10.048999999999999</v>
      </c>
      <c r="H1295" t="str">
        <f t="shared" si="21"/>
        <v>ok</v>
      </c>
    </row>
    <row r="1296" spans="1:8" x14ac:dyDescent="0.3">
      <c r="A1296" s="2">
        <v>46048</v>
      </c>
      <c r="B1296" t="s">
        <v>23</v>
      </c>
      <c r="C1296" t="s">
        <v>19</v>
      </c>
      <c r="D1296" t="s">
        <v>34</v>
      </c>
      <c r="E1296" t="s">
        <v>10</v>
      </c>
      <c r="F1296" t="s">
        <v>1316</v>
      </c>
      <c r="G1296">
        <v>9.9941999999999993</v>
      </c>
      <c r="H1296" t="str">
        <f t="shared" si="21"/>
        <v>ok</v>
      </c>
    </row>
    <row r="1297" spans="1:8" x14ac:dyDescent="0.3">
      <c r="A1297" s="2">
        <v>46048</v>
      </c>
      <c r="B1297" t="s">
        <v>12</v>
      </c>
      <c r="C1297" t="s">
        <v>8</v>
      </c>
      <c r="D1297" t="s">
        <v>34</v>
      </c>
      <c r="E1297" t="s">
        <v>36</v>
      </c>
      <c r="F1297" t="s">
        <v>1317</v>
      </c>
      <c r="G1297">
        <v>9.9770000000000003</v>
      </c>
      <c r="H1297" t="str">
        <f t="shared" si="21"/>
        <v>ok</v>
      </c>
    </row>
    <row r="1298" spans="1:8" x14ac:dyDescent="0.3">
      <c r="A1298" s="2">
        <v>46048</v>
      </c>
      <c r="B1298" t="s">
        <v>23</v>
      </c>
      <c r="C1298" t="s">
        <v>8</v>
      </c>
      <c r="D1298" t="s">
        <v>9</v>
      </c>
      <c r="E1298" t="s">
        <v>10</v>
      </c>
      <c r="F1298" t="s">
        <v>1318</v>
      </c>
      <c r="G1298">
        <v>9.9908999999999999</v>
      </c>
      <c r="H1298" t="str">
        <f t="shared" si="21"/>
        <v>ok</v>
      </c>
    </row>
    <row r="1299" spans="1:8" x14ac:dyDescent="0.3">
      <c r="A1299" s="2">
        <v>46048</v>
      </c>
      <c r="B1299" t="s">
        <v>12</v>
      </c>
      <c r="C1299" t="s">
        <v>8</v>
      </c>
      <c r="D1299" t="s">
        <v>17</v>
      </c>
      <c r="E1299" t="s">
        <v>14</v>
      </c>
      <c r="F1299" t="s">
        <v>1319</v>
      </c>
      <c r="G1299">
        <v>10.051399999999999</v>
      </c>
      <c r="H1299" t="str">
        <f t="shared" si="21"/>
        <v>ok</v>
      </c>
    </row>
    <row r="1300" spans="1:8" x14ac:dyDescent="0.3">
      <c r="A1300" s="2">
        <v>46048</v>
      </c>
      <c r="B1300" t="s">
        <v>23</v>
      </c>
      <c r="C1300" t="s">
        <v>16</v>
      </c>
      <c r="D1300" t="s">
        <v>17</v>
      </c>
      <c r="E1300" t="s">
        <v>14</v>
      </c>
      <c r="F1300" t="s">
        <v>1320</v>
      </c>
      <c r="G1300">
        <v>9.9930000000000003</v>
      </c>
      <c r="H1300" t="str">
        <f t="shared" si="21"/>
        <v>ok</v>
      </c>
    </row>
    <row r="1301" spans="1:8" x14ac:dyDescent="0.3">
      <c r="A1301" s="2">
        <v>46048</v>
      </c>
      <c r="B1301" t="s">
        <v>12</v>
      </c>
      <c r="C1301" t="s">
        <v>8</v>
      </c>
      <c r="D1301" t="s">
        <v>13</v>
      </c>
      <c r="E1301" t="s">
        <v>14</v>
      </c>
      <c r="F1301" t="s">
        <v>1321</v>
      </c>
      <c r="G1301">
        <v>10.0276</v>
      </c>
      <c r="H1301" t="str">
        <f t="shared" si="21"/>
        <v>ok</v>
      </c>
    </row>
    <row r="1302" spans="1:8" x14ac:dyDescent="0.3">
      <c r="A1302" s="2">
        <v>46049</v>
      </c>
      <c r="B1302" t="s">
        <v>23</v>
      </c>
      <c r="C1302" t="s">
        <v>16</v>
      </c>
      <c r="D1302" t="s">
        <v>34</v>
      </c>
      <c r="E1302" t="s">
        <v>10</v>
      </c>
      <c r="F1302" t="s">
        <v>1322</v>
      </c>
      <c r="G1302">
        <v>9.9700000000000006</v>
      </c>
      <c r="H1302" t="str">
        <f t="shared" si="21"/>
        <v>ok</v>
      </c>
    </row>
    <row r="1303" spans="1:8" x14ac:dyDescent="0.3">
      <c r="A1303" s="2">
        <v>46049</v>
      </c>
      <c r="B1303" t="s">
        <v>23</v>
      </c>
      <c r="C1303" t="s">
        <v>16</v>
      </c>
      <c r="D1303" t="s">
        <v>34</v>
      </c>
      <c r="E1303" t="s">
        <v>28</v>
      </c>
      <c r="F1303" t="s">
        <v>1323</v>
      </c>
      <c r="G1303">
        <v>10.0168</v>
      </c>
      <c r="H1303" t="str">
        <f t="shared" si="21"/>
        <v>ok</v>
      </c>
    </row>
    <row r="1304" spans="1:8" x14ac:dyDescent="0.3">
      <c r="A1304" s="2">
        <v>46049</v>
      </c>
      <c r="B1304" t="s">
        <v>7</v>
      </c>
      <c r="C1304" t="s">
        <v>19</v>
      </c>
      <c r="D1304" t="s">
        <v>9</v>
      </c>
      <c r="E1304" t="s">
        <v>28</v>
      </c>
      <c r="F1304" t="s">
        <v>1324</v>
      </c>
      <c r="G1304">
        <v>10.0185</v>
      </c>
      <c r="H1304" t="str">
        <f t="shared" si="21"/>
        <v>ok</v>
      </c>
    </row>
    <row r="1305" spans="1:8" x14ac:dyDescent="0.3">
      <c r="A1305" s="2">
        <v>46049</v>
      </c>
      <c r="B1305" t="s">
        <v>7</v>
      </c>
      <c r="C1305" t="s">
        <v>19</v>
      </c>
      <c r="D1305" t="s">
        <v>13</v>
      </c>
      <c r="E1305" t="s">
        <v>28</v>
      </c>
      <c r="F1305" t="s">
        <v>1325</v>
      </c>
      <c r="G1305">
        <v>9.9931999999999999</v>
      </c>
      <c r="H1305" t="str">
        <f t="shared" si="21"/>
        <v>ok</v>
      </c>
    </row>
    <row r="1306" spans="1:8" x14ac:dyDescent="0.3">
      <c r="A1306" s="2">
        <v>46049</v>
      </c>
      <c r="B1306" t="s">
        <v>7</v>
      </c>
      <c r="C1306" t="s">
        <v>8</v>
      </c>
      <c r="D1306" t="s">
        <v>17</v>
      </c>
      <c r="E1306" t="s">
        <v>10</v>
      </c>
      <c r="F1306" t="s">
        <v>1326</v>
      </c>
      <c r="G1306">
        <v>10.024800000000001</v>
      </c>
      <c r="H1306" t="str">
        <f t="shared" si="21"/>
        <v>ok</v>
      </c>
    </row>
    <row r="1307" spans="1:8" x14ac:dyDescent="0.3">
      <c r="A1307" s="2">
        <v>46049</v>
      </c>
      <c r="B1307" t="s">
        <v>12</v>
      </c>
      <c r="C1307" t="s">
        <v>8</v>
      </c>
      <c r="D1307" t="s">
        <v>9</v>
      </c>
      <c r="E1307" t="s">
        <v>14</v>
      </c>
      <c r="F1307" t="s">
        <v>1327</v>
      </c>
      <c r="G1307">
        <v>10.0334</v>
      </c>
      <c r="H1307" t="str">
        <f t="shared" si="21"/>
        <v>ok</v>
      </c>
    </row>
    <row r="1308" spans="1:8" x14ac:dyDescent="0.3">
      <c r="A1308" s="2">
        <v>46049</v>
      </c>
      <c r="B1308" t="s">
        <v>7</v>
      </c>
      <c r="C1308" t="s">
        <v>16</v>
      </c>
      <c r="D1308" t="s">
        <v>17</v>
      </c>
      <c r="E1308" t="s">
        <v>36</v>
      </c>
      <c r="F1308" t="s">
        <v>1328</v>
      </c>
      <c r="G1308">
        <v>10.0237</v>
      </c>
      <c r="H1308" t="str">
        <f t="shared" si="21"/>
        <v>ok</v>
      </c>
    </row>
    <row r="1309" spans="1:8" x14ac:dyDescent="0.3">
      <c r="A1309" s="2">
        <v>46049</v>
      </c>
      <c r="B1309" t="s">
        <v>7</v>
      </c>
      <c r="C1309" t="s">
        <v>19</v>
      </c>
      <c r="D1309" t="s">
        <v>9</v>
      </c>
      <c r="E1309" t="s">
        <v>28</v>
      </c>
      <c r="F1309" t="s">
        <v>1329</v>
      </c>
      <c r="G1309">
        <v>10.017799999999999</v>
      </c>
      <c r="H1309" t="str">
        <f t="shared" si="21"/>
        <v>ok</v>
      </c>
    </row>
    <row r="1310" spans="1:8" x14ac:dyDescent="0.3">
      <c r="A1310" s="2">
        <v>46049</v>
      </c>
      <c r="B1310" t="s">
        <v>7</v>
      </c>
      <c r="C1310" t="s">
        <v>19</v>
      </c>
      <c r="D1310" t="s">
        <v>34</v>
      </c>
      <c r="E1310" t="s">
        <v>28</v>
      </c>
      <c r="F1310" t="s">
        <v>1330</v>
      </c>
      <c r="G1310">
        <v>9.9837000000000007</v>
      </c>
      <c r="H1310" t="str">
        <f t="shared" si="21"/>
        <v>ok</v>
      </c>
    </row>
    <row r="1311" spans="1:8" x14ac:dyDescent="0.3">
      <c r="A1311" s="2">
        <v>46049</v>
      </c>
      <c r="B1311" t="s">
        <v>7</v>
      </c>
      <c r="C1311" t="s">
        <v>16</v>
      </c>
      <c r="D1311" t="s">
        <v>9</v>
      </c>
      <c r="E1311" t="s">
        <v>28</v>
      </c>
      <c r="F1311" t="s">
        <v>1331</v>
      </c>
      <c r="G1311">
        <v>9.9529999999999994</v>
      </c>
      <c r="H1311" t="str">
        <f t="shared" si="21"/>
        <v>ok</v>
      </c>
    </row>
    <row r="1312" spans="1:8" x14ac:dyDescent="0.3">
      <c r="A1312" s="2">
        <v>46049</v>
      </c>
      <c r="B1312" t="s">
        <v>12</v>
      </c>
      <c r="C1312" t="s">
        <v>8</v>
      </c>
      <c r="D1312" t="s">
        <v>17</v>
      </c>
      <c r="E1312" t="s">
        <v>21</v>
      </c>
      <c r="F1312" t="s">
        <v>1332</v>
      </c>
      <c r="G1312">
        <v>10.0116</v>
      </c>
      <c r="H1312" t="str">
        <f t="shared" si="21"/>
        <v>ok</v>
      </c>
    </row>
    <row r="1313" spans="1:8" x14ac:dyDescent="0.3">
      <c r="A1313" s="2">
        <v>46049</v>
      </c>
      <c r="B1313" t="s">
        <v>12</v>
      </c>
      <c r="C1313" t="s">
        <v>19</v>
      </c>
      <c r="D1313" t="s">
        <v>13</v>
      </c>
      <c r="E1313" t="s">
        <v>10</v>
      </c>
      <c r="F1313" t="s">
        <v>1333</v>
      </c>
      <c r="G1313">
        <v>9.9817</v>
      </c>
      <c r="H1313" t="str">
        <f t="shared" si="21"/>
        <v>ok</v>
      </c>
    </row>
    <row r="1314" spans="1:8" x14ac:dyDescent="0.3">
      <c r="A1314" s="2">
        <v>46049</v>
      </c>
      <c r="B1314" t="s">
        <v>7</v>
      </c>
      <c r="C1314" t="s">
        <v>16</v>
      </c>
      <c r="D1314" t="s">
        <v>17</v>
      </c>
      <c r="E1314" t="s">
        <v>36</v>
      </c>
      <c r="F1314" t="s">
        <v>1334</v>
      </c>
      <c r="G1314">
        <v>10.0139</v>
      </c>
      <c r="H1314" t="str">
        <f t="shared" si="21"/>
        <v>ok</v>
      </c>
    </row>
    <row r="1315" spans="1:8" x14ac:dyDescent="0.3">
      <c r="A1315" s="2">
        <v>46049</v>
      </c>
      <c r="B1315" t="s">
        <v>7</v>
      </c>
      <c r="C1315" t="s">
        <v>19</v>
      </c>
      <c r="D1315" t="s">
        <v>13</v>
      </c>
      <c r="E1315" t="s">
        <v>21</v>
      </c>
      <c r="F1315" t="s">
        <v>1335</v>
      </c>
      <c r="G1315">
        <v>10.0321</v>
      </c>
      <c r="H1315" t="str">
        <f t="shared" si="21"/>
        <v>ok</v>
      </c>
    </row>
    <row r="1316" spans="1:8" x14ac:dyDescent="0.3">
      <c r="A1316" s="2">
        <v>46049</v>
      </c>
      <c r="B1316" t="s">
        <v>12</v>
      </c>
      <c r="C1316" t="s">
        <v>16</v>
      </c>
      <c r="D1316" t="s">
        <v>13</v>
      </c>
      <c r="E1316" t="s">
        <v>10</v>
      </c>
      <c r="F1316" t="s">
        <v>1336</v>
      </c>
      <c r="G1316">
        <v>10.066599999999999</v>
      </c>
      <c r="H1316" t="str">
        <f t="shared" si="21"/>
        <v>ok</v>
      </c>
    </row>
    <row r="1317" spans="1:8" x14ac:dyDescent="0.3">
      <c r="A1317" s="2">
        <v>46049</v>
      </c>
      <c r="B1317" t="s">
        <v>7</v>
      </c>
      <c r="C1317" t="s">
        <v>16</v>
      </c>
      <c r="D1317" t="s">
        <v>9</v>
      </c>
      <c r="E1317" t="s">
        <v>10</v>
      </c>
      <c r="F1317" t="s">
        <v>1337</v>
      </c>
      <c r="G1317">
        <v>10.009600000000001</v>
      </c>
      <c r="H1317" t="str">
        <f t="shared" si="21"/>
        <v>ok</v>
      </c>
    </row>
    <row r="1318" spans="1:8" x14ac:dyDescent="0.3">
      <c r="A1318" s="2">
        <v>46049</v>
      </c>
      <c r="B1318" t="s">
        <v>12</v>
      </c>
      <c r="C1318" t="s">
        <v>8</v>
      </c>
      <c r="D1318" t="s">
        <v>13</v>
      </c>
      <c r="E1318" t="s">
        <v>10</v>
      </c>
      <c r="F1318" t="s">
        <v>1338</v>
      </c>
      <c r="G1318">
        <v>10.062900000000001</v>
      </c>
      <c r="H1318" t="str">
        <f t="shared" si="21"/>
        <v>ok</v>
      </c>
    </row>
    <row r="1319" spans="1:8" x14ac:dyDescent="0.3">
      <c r="A1319" s="2">
        <v>46049</v>
      </c>
      <c r="B1319" t="s">
        <v>23</v>
      </c>
      <c r="C1319" t="s">
        <v>16</v>
      </c>
      <c r="D1319" t="s">
        <v>17</v>
      </c>
      <c r="E1319" t="s">
        <v>10</v>
      </c>
      <c r="F1319" t="s">
        <v>1339</v>
      </c>
      <c r="G1319">
        <v>9.9864999999999995</v>
      </c>
      <c r="H1319" t="str">
        <f t="shared" si="21"/>
        <v>ok</v>
      </c>
    </row>
    <row r="1320" spans="1:8" x14ac:dyDescent="0.3">
      <c r="A1320" s="2">
        <v>46049</v>
      </c>
      <c r="B1320" t="s">
        <v>12</v>
      </c>
      <c r="C1320" t="s">
        <v>16</v>
      </c>
      <c r="D1320" t="s">
        <v>9</v>
      </c>
      <c r="E1320" t="s">
        <v>36</v>
      </c>
      <c r="F1320" t="s">
        <v>1340</v>
      </c>
      <c r="G1320">
        <v>10.0045</v>
      </c>
      <c r="H1320" t="str">
        <f t="shared" si="21"/>
        <v>ok</v>
      </c>
    </row>
    <row r="1321" spans="1:8" x14ac:dyDescent="0.3">
      <c r="A1321" s="2">
        <v>46049</v>
      </c>
      <c r="B1321" t="s">
        <v>23</v>
      </c>
      <c r="C1321" t="s">
        <v>19</v>
      </c>
      <c r="D1321" t="s">
        <v>17</v>
      </c>
      <c r="E1321" t="s">
        <v>28</v>
      </c>
      <c r="F1321" t="s">
        <v>1341</v>
      </c>
      <c r="G1321">
        <v>10.010300000000001</v>
      </c>
      <c r="H1321" t="str">
        <f t="shared" si="21"/>
        <v>ok</v>
      </c>
    </row>
    <row r="1322" spans="1:8" x14ac:dyDescent="0.3">
      <c r="A1322" s="2">
        <v>46049</v>
      </c>
      <c r="B1322" t="s">
        <v>12</v>
      </c>
      <c r="C1322" t="s">
        <v>16</v>
      </c>
      <c r="D1322" t="s">
        <v>13</v>
      </c>
      <c r="E1322" t="s">
        <v>28</v>
      </c>
      <c r="F1322" t="s">
        <v>1342</v>
      </c>
      <c r="G1322">
        <v>10.014799999999999</v>
      </c>
      <c r="H1322" t="str">
        <f t="shared" si="21"/>
        <v>ok</v>
      </c>
    </row>
    <row r="1323" spans="1:8" x14ac:dyDescent="0.3">
      <c r="A1323" s="2">
        <v>46049</v>
      </c>
      <c r="B1323" t="s">
        <v>12</v>
      </c>
      <c r="C1323" t="s">
        <v>19</v>
      </c>
      <c r="D1323" t="s">
        <v>17</v>
      </c>
      <c r="E1323" t="s">
        <v>14</v>
      </c>
      <c r="F1323" t="s">
        <v>1343</v>
      </c>
      <c r="G1323">
        <v>10.0029</v>
      </c>
      <c r="H1323" t="str">
        <f t="shared" si="21"/>
        <v>ok</v>
      </c>
    </row>
    <row r="1324" spans="1:8" x14ac:dyDescent="0.3">
      <c r="A1324" s="2">
        <v>46049</v>
      </c>
      <c r="B1324" t="s">
        <v>12</v>
      </c>
      <c r="C1324" t="s">
        <v>16</v>
      </c>
      <c r="D1324" t="s">
        <v>17</v>
      </c>
      <c r="E1324" t="s">
        <v>10</v>
      </c>
      <c r="F1324" t="s">
        <v>1344</v>
      </c>
      <c r="G1324">
        <v>10.005699999999999</v>
      </c>
      <c r="H1324" t="str">
        <f t="shared" si="21"/>
        <v>ok</v>
      </c>
    </row>
    <row r="1325" spans="1:8" x14ac:dyDescent="0.3">
      <c r="A1325" s="2">
        <v>46049</v>
      </c>
      <c r="B1325" t="s">
        <v>23</v>
      </c>
      <c r="C1325" t="s">
        <v>19</v>
      </c>
      <c r="D1325" t="s">
        <v>17</v>
      </c>
      <c r="E1325" t="s">
        <v>21</v>
      </c>
      <c r="F1325" t="s">
        <v>1345</v>
      </c>
      <c r="G1325">
        <v>10.0162</v>
      </c>
      <c r="H1325" t="str">
        <f t="shared" si="21"/>
        <v>ok</v>
      </c>
    </row>
    <row r="1326" spans="1:8" x14ac:dyDescent="0.3">
      <c r="A1326" s="2">
        <v>46049</v>
      </c>
      <c r="B1326" t="s">
        <v>7</v>
      </c>
      <c r="C1326" t="s">
        <v>16</v>
      </c>
      <c r="D1326" t="s">
        <v>13</v>
      </c>
      <c r="E1326" t="s">
        <v>36</v>
      </c>
      <c r="F1326" t="s">
        <v>1346</v>
      </c>
      <c r="G1326">
        <v>9.9970999999999997</v>
      </c>
      <c r="H1326" t="str">
        <f t="shared" si="21"/>
        <v>ok</v>
      </c>
    </row>
    <row r="1327" spans="1:8" x14ac:dyDescent="0.3">
      <c r="A1327" s="2">
        <v>46049</v>
      </c>
      <c r="B1327" t="s">
        <v>7</v>
      </c>
      <c r="C1327" t="s">
        <v>16</v>
      </c>
      <c r="D1327" t="s">
        <v>9</v>
      </c>
      <c r="E1327" t="s">
        <v>10</v>
      </c>
      <c r="F1327" t="s">
        <v>1347</v>
      </c>
      <c r="G1327">
        <v>9.9960000000000004</v>
      </c>
      <c r="H1327" t="str">
        <f t="shared" si="21"/>
        <v>ok</v>
      </c>
    </row>
    <row r="1328" spans="1:8" x14ac:dyDescent="0.3">
      <c r="A1328" s="2">
        <v>46049</v>
      </c>
      <c r="B1328" t="s">
        <v>23</v>
      </c>
      <c r="C1328" t="s">
        <v>16</v>
      </c>
      <c r="D1328" t="s">
        <v>17</v>
      </c>
      <c r="E1328" t="s">
        <v>36</v>
      </c>
      <c r="F1328" t="s">
        <v>1348</v>
      </c>
      <c r="G1328">
        <v>10.0481</v>
      </c>
      <c r="H1328" t="str">
        <f t="shared" si="21"/>
        <v>ok</v>
      </c>
    </row>
    <row r="1329" spans="1:8" x14ac:dyDescent="0.3">
      <c r="A1329" s="2">
        <v>46049</v>
      </c>
      <c r="B1329" t="s">
        <v>23</v>
      </c>
      <c r="C1329" t="s">
        <v>8</v>
      </c>
      <c r="D1329" t="s">
        <v>9</v>
      </c>
      <c r="E1329" t="s">
        <v>14</v>
      </c>
      <c r="F1329" t="s">
        <v>1349</v>
      </c>
      <c r="G1329">
        <v>10.017300000000001</v>
      </c>
      <c r="H1329" t="str">
        <f t="shared" si="21"/>
        <v>ok</v>
      </c>
    </row>
    <row r="1330" spans="1:8" x14ac:dyDescent="0.3">
      <c r="A1330" s="2">
        <v>46049</v>
      </c>
      <c r="B1330" t="s">
        <v>7</v>
      </c>
      <c r="C1330" t="s">
        <v>16</v>
      </c>
      <c r="D1330" t="s">
        <v>13</v>
      </c>
      <c r="E1330" t="s">
        <v>21</v>
      </c>
      <c r="F1330" t="s">
        <v>1350</v>
      </c>
      <c r="G1330">
        <v>10.0153</v>
      </c>
      <c r="H1330" t="str">
        <f t="shared" si="21"/>
        <v>ok</v>
      </c>
    </row>
    <row r="1331" spans="1:8" x14ac:dyDescent="0.3">
      <c r="A1331" s="2">
        <v>46049</v>
      </c>
      <c r="B1331" t="s">
        <v>23</v>
      </c>
      <c r="C1331" t="s">
        <v>19</v>
      </c>
      <c r="D1331" t="s">
        <v>34</v>
      </c>
      <c r="E1331" t="s">
        <v>10</v>
      </c>
      <c r="F1331" t="s">
        <v>1351</v>
      </c>
      <c r="G1331">
        <v>9.9831000000000003</v>
      </c>
      <c r="H1331" t="str">
        <f t="shared" si="21"/>
        <v>ok</v>
      </c>
    </row>
    <row r="1332" spans="1:8" x14ac:dyDescent="0.3">
      <c r="A1332" s="2">
        <v>46049</v>
      </c>
      <c r="B1332" t="s">
        <v>12</v>
      </c>
      <c r="C1332" t="s">
        <v>16</v>
      </c>
      <c r="D1332" t="s">
        <v>34</v>
      </c>
      <c r="E1332" t="s">
        <v>21</v>
      </c>
      <c r="F1332" t="s">
        <v>1352</v>
      </c>
      <c r="G1332">
        <v>10.029999999999999</v>
      </c>
      <c r="H1332" t="str">
        <f t="shared" si="21"/>
        <v>ok</v>
      </c>
    </row>
    <row r="1333" spans="1:8" x14ac:dyDescent="0.3">
      <c r="A1333" s="2">
        <v>46049</v>
      </c>
      <c r="B1333" t="s">
        <v>12</v>
      </c>
      <c r="C1333" t="s">
        <v>19</v>
      </c>
      <c r="D1333" t="s">
        <v>9</v>
      </c>
      <c r="E1333" t="s">
        <v>14</v>
      </c>
      <c r="F1333" t="s">
        <v>1353</v>
      </c>
      <c r="G1333">
        <v>9.9824000000000002</v>
      </c>
      <c r="H1333" t="str">
        <f t="shared" si="21"/>
        <v>ok</v>
      </c>
    </row>
    <row r="1334" spans="1:8" x14ac:dyDescent="0.3">
      <c r="A1334" s="2">
        <v>46049</v>
      </c>
      <c r="B1334" t="s">
        <v>12</v>
      </c>
      <c r="C1334" t="s">
        <v>16</v>
      </c>
      <c r="D1334" t="s">
        <v>13</v>
      </c>
      <c r="E1334" t="s">
        <v>28</v>
      </c>
      <c r="F1334" t="s">
        <v>1354</v>
      </c>
      <c r="G1334">
        <v>10.100300000000001</v>
      </c>
      <c r="H1334" t="str">
        <f t="shared" si="21"/>
        <v>ok</v>
      </c>
    </row>
    <row r="1335" spans="1:8" x14ac:dyDescent="0.3">
      <c r="A1335" s="2">
        <v>46049</v>
      </c>
      <c r="B1335" t="s">
        <v>23</v>
      </c>
      <c r="C1335" t="s">
        <v>19</v>
      </c>
      <c r="D1335" t="s">
        <v>9</v>
      </c>
      <c r="E1335" t="s">
        <v>14</v>
      </c>
      <c r="F1335" t="s">
        <v>1355</v>
      </c>
      <c r="G1335">
        <v>10.004099999999999</v>
      </c>
      <c r="H1335" t="str">
        <f t="shared" si="21"/>
        <v>ok</v>
      </c>
    </row>
    <row r="1336" spans="1:8" x14ac:dyDescent="0.3">
      <c r="A1336" s="2">
        <v>46049</v>
      </c>
      <c r="B1336" t="s">
        <v>7</v>
      </c>
      <c r="C1336" t="s">
        <v>16</v>
      </c>
      <c r="D1336" t="s">
        <v>9</v>
      </c>
      <c r="E1336" t="s">
        <v>14</v>
      </c>
      <c r="F1336" t="s">
        <v>1356</v>
      </c>
      <c r="G1336">
        <v>9.9995999999999992</v>
      </c>
      <c r="H1336" t="str">
        <f t="shared" si="21"/>
        <v>ok</v>
      </c>
    </row>
    <row r="1337" spans="1:8" x14ac:dyDescent="0.3">
      <c r="A1337" s="2">
        <v>46049</v>
      </c>
      <c r="B1337" t="s">
        <v>7</v>
      </c>
      <c r="C1337" t="s">
        <v>19</v>
      </c>
      <c r="D1337" t="s">
        <v>17</v>
      </c>
      <c r="E1337" t="s">
        <v>14</v>
      </c>
      <c r="F1337" t="s">
        <v>1357</v>
      </c>
      <c r="G1337">
        <v>9.9977999999999998</v>
      </c>
      <c r="H1337" t="str">
        <f t="shared" si="21"/>
        <v>ok</v>
      </c>
    </row>
    <row r="1338" spans="1:8" x14ac:dyDescent="0.3">
      <c r="A1338" s="2">
        <v>46049</v>
      </c>
      <c r="B1338" t="s">
        <v>23</v>
      </c>
      <c r="C1338" t="s">
        <v>19</v>
      </c>
      <c r="D1338" t="s">
        <v>13</v>
      </c>
      <c r="E1338" t="s">
        <v>36</v>
      </c>
      <c r="F1338" t="s">
        <v>1358</v>
      </c>
      <c r="G1338">
        <v>9.9718999999999998</v>
      </c>
      <c r="H1338" t="str">
        <f t="shared" si="21"/>
        <v>ok</v>
      </c>
    </row>
    <row r="1339" spans="1:8" x14ac:dyDescent="0.3">
      <c r="A1339" s="2">
        <v>46049</v>
      </c>
      <c r="B1339" t="s">
        <v>12</v>
      </c>
      <c r="C1339" t="s">
        <v>19</v>
      </c>
      <c r="D1339" t="s">
        <v>13</v>
      </c>
      <c r="E1339" t="s">
        <v>14</v>
      </c>
      <c r="F1339" t="s">
        <v>1359</v>
      </c>
      <c r="G1339">
        <v>9.9936000000000007</v>
      </c>
      <c r="H1339" t="str">
        <f t="shared" si="21"/>
        <v>ok</v>
      </c>
    </row>
    <row r="1340" spans="1:8" x14ac:dyDescent="0.3">
      <c r="A1340" s="2">
        <v>46049</v>
      </c>
      <c r="B1340" t="s">
        <v>23</v>
      </c>
      <c r="C1340" t="s">
        <v>19</v>
      </c>
      <c r="D1340" t="s">
        <v>17</v>
      </c>
      <c r="E1340" t="s">
        <v>14</v>
      </c>
      <c r="F1340" t="s">
        <v>1360</v>
      </c>
      <c r="G1340">
        <v>9.9791000000000007</v>
      </c>
      <c r="H1340" t="str">
        <f t="shared" si="21"/>
        <v>ok</v>
      </c>
    </row>
    <row r="1341" spans="1:8" x14ac:dyDescent="0.3">
      <c r="A1341" s="2">
        <v>46049</v>
      </c>
      <c r="B1341" t="s">
        <v>12</v>
      </c>
      <c r="C1341" t="s">
        <v>19</v>
      </c>
      <c r="D1341" t="s">
        <v>9</v>
      </c>
      <c r="E1341" t="s">
        <v>28</v>
      </c>
      <c r="F1341" t="s">
        <v>1361</v>
      </c>
      <c r="G1341">
        <v>10.026300000000001</v>
      </c>
      <c r="H1341" t="str">
        <f t="shared" si="21"/>
        <v>ok</v>
      </c>
    </row>
    <row r="1342" spans="1:8" x14ac:dyDescent="0.3">
      <c r="A1342" s="2">
        <v>46049</v>
      </c>
      <c r="B1342" t="s">
        <v>23</v>
      </c>
      <c r="C1342" t="s">
        <v>16</v>
      </c>
      <c r="D1342" t="s">
        <v>9</v>
      </c>
      <c r="E1342" t="s">
        <v>14</v>
      </c>
      <c r="F1342" t="s">
        <v>1362</v>
      </c>
      <c r="G1342">
        <v>9.9883000000000006</v>
      </c>
      <c r="H1342" t="str">
        <f t="shared" si="21"/>
        <v>ok</v>
      </c>
    </row>
    <row r="1343" spans="1:8" x14ac:dyDescent="0.3">
      <c r="A1343" s="2">
        <v>46049</v>
      </c>
      <c r="B1343" t="s">
        <v>12</v>
      </c>
      <c r="C1343" t="s">
        <v>16</v>
      </c>
      <c r="D1343" t="s">
        <v>34</v>
      </c>
      <c r="E1343" t="s">
        <v>28</v>
      </c>
      <c r="F1343" t="s">
        <v>1363</v>
      </c>
      <c r="G1343">
        <v>10.0024</v>
      </c>
      <c r="H1343" t="str">
        <f t="shared" si="21"/>
        <v>ok</v>
      </c>
    </row>
    <row r="1344" spans="1:8" x14ac:dyDescent="0.3">
      <c r="A1344" s="2">
        <v>46049</v>
      </c>
      <c r="B1344" t="s">
        <v>23</v>
      </c>
      <c r="C1344" t="s">
        <v>8</v>
      </c>
      <c r="D1344" t="s">
        <v>17</v>
      </c>
      <c r="E1344" t="s">
        <v>36</v>
      </c>
      <c r="F1344" t="s">
        <v>1364</v>
      </c>
      <c r="G1344">
        <v>9.9999000000000002</v>
      </c>
      <c r="H1344" t="str">
        <f t="shared" si="21"/>
        <v>ok</v>
      </c>
    </row>
    <row r="1345" spans="1:8" x14ac:dyDescent="0.3">
      <c r="A1345" s="2">
        <v>46049</v>
      </c>
      <c r="B1345" t="s">
        <v>23</v>
      </c>
      <c r="C1345" t="s">
        <v>8</v>
      </c>
      <c r="D1345" t="s">
        <v>13</v>
      </c>
      <c r="E1345" t="s">
        <v>14</v>
      </c>
      <c r="F1345" t="s">
        <v>1365</v>
      </c>
      <c r="G1345">
        <v>10.0306</v>
      </c>
      <c r="H1345" t="str">
        <f t="shared" si="21"/>
        <v>ok</v>
      </c>
    </row>
    <row r="1346" spans="1:8" x14ac:dyDescent="0.3">
      <c r="A1346" s="2">
        <v>46049</v>
      </c>
      <c r="B1346" t="s">
        <v>7</v>
      </c>
      <c r="C1346" t="s">
        <v>16</v>
      </c>
      <c r="D1346" t="s">
        <v>17</v>
      </c>
      <c r="E1346" t="s">
        <v>14</v>
      </c>
      <c r="F1346" t="s">
        <v>1366</v>
      </c>
      <c r="G1346">
        <v>9.9894999999999996</v>
      </c>
      <c r="H1346" t="str">
        <f t="shared" si="21"/>
        <v>ok</v>
      </c>
    </row>
    <row r="1347" spans="1:8" x14ac:dyDescent="0.3">
      <c r="A1347" s="2">
        <v>46049</v>
      </c>
      <c r="B1347" t="s">
        <v>12</v>
      </c>
      <c r="C1347" t="s">
        <v>16</v>
      </c>
      <c r="D1347" t="s">
        <v>13</v>
      </c>
      <c r="E1347" t="s">
        <v>14</v>
      </c>
      <c r="F1347" t="s">
        <v>1367</v>
      </c>
      <c r="G1347">
        <v>9.9521999999999995</v>
      </c>
      <c r="H1347" t="str">
        <f t="shared" si="21"/>
        <v>ok</v>
      </c>
    </row>
    <row r="1348" spans="1:8" x14ac:dyDescent="0.3">
      <c r="A1348" s="2">
        <v>46049</v>
      </c>
      <c r="B1348" t="s">
        <v>7</v>
      </c>
      <c r="C1348" t="s">
        <v>8</v>
      </c>
      <c r="D1348" t="s">
        <v>34</v>
      </c>
      <c r="E1348" t="s">
        <v>14</v>
      </c>
      <c r="F1348" t="s">
        <v>1368</v>
      </c>
      <c r="G1348">
        <v>10.006</v>
      </c>
      <c r="H1348" t="str">
        <f t="shared" si="21"/>
        <v>ok</v>
      </c>
    </row>
    <row r="1349" spans="1:8" x14ac:dyDescent="0.3">
      <c r="A1349" s="2">
        <v>46049</v>
      </c>
      <c r="B1349" t="s">
        <v>12</v>
      </c>
      <c r="C1349" t="s">
        <v>19</v>
      </c>
      <c r="D1349" t="s">
        <v>17</v>
      </c>
      <c r="E1349" t="s">
        <v>28</v>
      </c>
      <c r="F1349" t="s">
        <v>1369</v>
      </c>
      <c r="G1349">
        <v>9.9834999999999994</v>
      </c>
      <c r="H1349" t="str">
        <f t="shared" si="21"/>
        <v>ok</v>
      </c>
    </row>
    <row r="1350" spans="1:8" x14ac:dyDescent="0.3">
      <c r="A1350" s="2">
        <v>46049</v>
      </c>
      <c r="B1350" t="s">
        <v>7</v>
      </c>
      <c r="C1350" t="s">
        <v>8</v>
      </c>
      <c r="D1350" t="s">
        <v>34</v>
      </c>
      <c r="E1350" t="s">
        <v>36</v>
      </c>
      <c r="F1350" t="s">
        <v>1370</v>
      </c>
      <c r="G1350">
        <v>10.0334</v>
      </c>
      <c r="H1350" t="str">
        <f t="shared" ref="H1350:H1413" si="22">IF(OR(G1350&gt;10.5,G1350&lt;9.95),"Defect","ok")</f>
        <v>ok</v>
      </c>
    </row>
    <row r="1351" spans="1:8" x14ac:dyDescent="0.3">
      <c r="A1351" s="2">
        <v>46049</v>
      </c>
      <c r="B1351" t="s">
        <v>7</v>
      </c>
      <c r="C1351" t="s">
        <v>19</v>
      </c>
      <c r="D1351" t="s">
        <v>34</v>
      </c>
      <c r="E1351" t="s">
        <v>36</v>
      </c>
      <c r="F1351" t="s">
        <v>1371</v>
      </c>
      <c r="G1351">
        <v>9.9990000000000006</v>
      </c>
      <c r="H1351" t="str">
        <f t="shared" si="22"/>
        <v>ok</v>
      </c>
    </row>
    <row r="1352" spans="1:8" x14ac:dyDescent="0.3">
      <c r="A1352" s="2">
        <v>46050</v>
      </c>
      <c r="B1352" t="s">
        <v>7</v>
      </c>
      <c r="C1352" t="s">
        <v>16</v>
      </c>
      <c r="D1352" t="s">
        <v>13</v>
      </c>
      <c r="E1352" t="s">
        <v>28</v>
      </c>
      <c r="F1352" t="s">
        <v>1372</v>
      </c>
      <c r="G1352">
        <v>10.0161</v>
      </c>
      <c r="H1352" t="str">
        <f t="shared" si="22"/>
        <v>ok</v>
      </c>
    </row>
    <row r="1353" spans="1:8" x14ac:dyDescent="0.3">
      <c r="A1353" s="2">
        <v>46050</v>
      </c>
      <c r="B1353" t="s">
        <v>7</v>
      </c>
      <c r="C1353" t="s">
        <v>16</v>
      </c>
      <c r="D1353" t="s">
        <v>17</v>
      </c>
      <c r="E1353" t="s">
        <v>10</v>
      </c>
      <c r="F1353" t="s">
        <v>1373</v>
      </c>
      <c r="G1353">
        <v>10</v>
      </c>
      <c r="H1353" t="str">
        <f t="shared" si="22"/>
        <v>ok</v>
      </c>
    </row>
    <row r="1354" spans="1:8" x14ac:dyDescent="0.3">
      <c r="A1354" s="2">
        <v>46050</v>
      </c>
      <c r="B1354" t="s">
        <v>12</v>
      </c>
      <c r="C1354" t="s">
        <v>8</v>
      </c>
      <c r="D1354" t="s">
        <v>17</v>
      </c>
      <c r="E1354" t="s">
        <v>14</v>
      </c>
      <c r="F1354" t="s">
        <v>1374</v>
      </c>
      <c r="G1354">
        <v>10.038500000000001</v>
      </c>
      <c r="H1354" t="str">
        <f t="shared" si="22"/>
        <v>ok</v>
      </c>
    </row>
    <row r="1355" spans="1:8" x14ac:dyDescent="0.3">
      <c r="A1355" s="2">
        <v>46050</v>
      </c>
      <c r="B1355" t="s">
        <v>12</v>
      </c>
      <c r="C1355" t="s">
        <v>19</v>
      </c>
      <c r="D1355" t="s">
        <v>17</v>
      </c>
      <c r="E1355" t="s">
        <v>21</v>
      </c>
      <c r="F1355" t="s">
        <v>1375</v>
      </c>
      <c r="G1355">
        <v>10.043900000000001</v>
      </c>
      <c r="H1355" t="str">
        <f t="shared" si="22"/>
        <v>ok</v>
      </c>
    </row>
    <row r="1356" spans="1:8" x14ac:dyDescent="0.3">
      <c r="A1356" s="2">
        <v>46050</v>
      </c>
      <c r="B1356" t="s">
        <v>23</v>
      </c>
      <c r="C1356" t="s">
        <v>8</v>
      </c>
      <c r="D1356" t="s">
        <v>17</v>
      </c>
      <c r="E1356" t="s">
        <v>36</v>
      </c>
      <c r="F1356" t="s">
        <v>1376</v>
      </c>
      <c r="G1356">
        <v>10.0029</v>
      </c>
      <c r="H1356" t="str">
        <f t="shared" si="22"/>
        <v>ok</v>
      </c>
    </row>
    <row r="1357" spans="1:8" x14ac:dyDescent="0.3">
      <c r="A1357" s="2">
        <v>46050</v>
      </c>
      <c r="B1357" t="s">
        <v>7</v>
      </c>
      <c r="C1357" t="s">
        <v>19</v>
      </c>
      <c r="D1357" t="s">
        <v>17</v>
      </c>
      <c r="E1357" t="s">
        <v>21</v>
      </c>
      <c r="F1357" t="s">
        <v>1377</v>
      </c>
      <c r="G1357">
        <v>10.010999999999999</v>
      </c>
      <c r="H1357" t="str">
        <f t="shared" si="22"/>
        <v>ok</v>
      </c>
    </row>
    <row r="1358" spans="1:8" x14ac:dyDescent="0.3">
      <c r="A1358" s="2">
        <v>46050</v>
      </c>
      <c r="B1358" t="s">
        <v>12</v>
      </c>
      <c r="C1358" t="s">
        <v>8</v>
      </c>
      <c r="D1358" t="s">
        <v>13</v>
      </c>
      <c r="E1358" t="s">
        <v>21</v>
      </c>
      <c r="F1358" t="s">
        <v>1378</v>
      </c>
      <c r="G1358">
        <v>9.9784000000000006</v>
      </c>
      <c r="H1358" t="str">
        <f t="shared" si="22"/>
        <v>ok</v>
      </c>
    </row>
    <row r="1359" spans="1:8" x14ac:dyDescent="0.3">
      <c r="A1359" s="2">
        <v>46050</v>
      </c>
      <c r="B1359" t="s">
        <v>12</v>
      </c>
      <c r="C1359" t="s">
        <v>16</v>
      </c>
      <c r="D1359" t="s">
        <v>9</v>
      </c>
      <c r="E1359" t="s">
        <v>36</v>
      </c>
      <c r="F1359" t="s">
        <v>1379</v>
      </c>
      <c r="G1359">
        <v>9.9954999999999998</v>
      </c>
      <c r="H1359" t="str">
        <f t="shared" si="22"/>
        <v>ok</v>
      </c>
    </row>
    <row r="1360" spans="1:8" x14ac:dyDescent="0.3">
      <c r="A1360" s="2">
        <v>46050</v>
      </c>
      <c r="B1360" t="s">
        <v>23</v>
      </c>
      <c r="C1360" t="s">
        <v>19</v>
      </c>
      <c r="D1360" t="s">
        <v>13</v>
      </c>
      <c r="E1360" t="s">
        <v>21</v>
      </c>
      <c r="F1360" t="s">
        <v>1380</v>
      </c>
      <c r="G1360">
        <v>10.0166</v>
      </c>
      <c r="H1360" t="str">
        <f t="shared" si="22"/>
        <v>ok</v>
      </c>
    </row>
    <row r="1361" spans="1:8" x14ac:dyDescent="0.3">
      <c r="A1361" s="2">
        <v>46050</v>
      </c>
      <c r="B1361" t="s">
        <v>7</v>
      </c>
      <c r="C1361" t="s">
        <v>16</v>
      </c>
      <c r="D1361" t="s">
        <v>13</v>
      </c>
      <c r="E1361" t="s">
        <v>14</v>
      </c>
      <c r="F1361" t="s">
        <v>1381</v>
      </c>
      <c r="G1361">
        <v>10.006399999999999</v>
      </c>
      <c r="H1361" t="str">
        <f t="shared" si="22"/>
        <v>ok</v>
      </c>
    </row>
    <row r="1362" spans="1:8" x14ac:dyDescent="0.3">
      <c r="A1362" s="2">
        <v>46050</v>
      </c>
      <c r="B1362" t="s">
        <v>12</v>
      </c>
      <c r="C1362" t="s">
        <v>16</v>
      </c>
      <c r="D1362" t="s">
        <v>17</v>
      </c>
      <c r="E1362" t="s">
        <v>36</v>
      </c>
      <c r="F1362" t="s">
        <v>1382</v>
      </c>
      <c r="G1362">
        <v>9.9910999999999994</v>
      </c>
      <c r="H1362" t="str">
        <f t="shared" si="22"/>
        <v>ok</v>
      </c>
    </row>
    <row r="1363" spans="1:8" x14ac:dyDescent="0.3">
      <c r="A1363" s="2">
        <v>46050</v>
      </c>
      <c r="B1363" t="s">
        <v>7</v>
      </c>
      <c r="C1363" t="s">
        <v>8</v>
      </c>
      <c r="D1363" t="s">
        <v>17</v>
      </c>
      <c r="E1363" t="s">
        <v>21</v>
      </c>
      <c r="F1363" t="s">
        <v>1383</v>
      </c>
      <c r="G1363">
        <v>9.9764999999999997</v>
      </c>
      <c r="H1363" t="str">
        <f t="shared" si="22"/>
        <v>ok</v>
      </c>
    </row>
    <row r="1364" spans="1:8" x14ac:dyDescent="0.3">
      <c r="A1364" s="2">
        <v>46050</v>
      </c>
      <c r="B1364" t="s">
        <v>7</v>
      </c>
      <c r="C1364" t="s">
        <v>8</v>
      </c>
      <c r="D1364" t="s">
        <v>13</v>
      </c>
      <c r="E1364" t="s">
        <v>28</v>
      </c>
      <c r="F1364" t="s">
        <v>1384</v>
      </c>
      <c r="G1364">
        <v>9.9956999999999994</v>
      </c>
      <c r="H1364" t="str">
        <f t="shared" si="22"/>
        <v>ok</v>
      </c>
    </row>
    <row r="1365" spans="1:8" x14ac:dyDescent="0.3">
      <c r="A1365" s="2">
        <v>46050</v>
      </c>
      <c r="B1365" t="s">
        <v>7</v>
      </c>
      <c r="C1365" t="s">
        <v>16</v>
      </c>
      <c r="D1365" t="s">
        <v>9</v>
      </c>
      <c r="E1365" t="s">
        <v>10</v>
      </c>
      <c r="F1365" t="s">
        <v>1385</v>
      </c>
      <c r="G1365">
        <v>10.0054</v>
      </c>
      <c r="H1365" t="str">
        <f t="shared" si="22"/>
        <v>ok</v>
      </c>
    </row>
    <row r="1366" spans="1:8" x14ac:dyDescent="0.3">
      <c r="A1366" s="2">
        <v>46050</v>
      </c>
      <c r="B1366" t="s">
        <v>7</v>
      </c>
      <c r="C1366" t="s">
        <v>8</v>
      </c>
      <c r="D1366" t="s">
        <v>9</v>
      </c>
      <c r="E1366" t="s">
        <v>14</v>
      </c>
      <c r="F1366" t="s">
        <v>1386</v>
      </c>
      <c r="G1366">
        <v>10.008800000000001</v>
      </c>
      <c r="H1366" t="str">
        <f t="shared" si="22"/>
        <v>ok</v>
      </c>
    </row>
    <row r="1367" spans="1:8" x14ac:dyDescent="0.3">
      <c r="A1367" s="2">
        <v>46050</v>
      </c>
      <c r="B1367" t="s">
        <v>23</v>
      </c>
      <c r="C1367" t="s">
        <v>19</v>
      </c>
      <c r="D1367" t="s">
        <v>13</v>
      </c>
      <c r="E1367" t="s">
        <v>28</v>
      </c>
      <c r="F1367" t="s">
        <v>1387</v>
      </c>
      <c r="G1367">
        <v>10.013999999999999</v>
      </c>
      <c r="H1367" t="str">
        <f t="shared" si="22"/>
        <v>ok</v>
      </c>
    </row>
    <row r="1368" spans="1:8" x14ac:dyDescent="0.3">
      <c r="A1368" s="2">
        <v>46050</v>
      </c>
      <c r="B1368" t="s">
        <v>7</v>
      </c>
      <c r="C1368" t="s">
        <v>19</v>
      </c>
      <c r="D1368" t="s">
        <v>17</v>
      </c>
      <c r="E1368" t="s">
        <v>14</v>
      </c>
      <c r="F1368" t="s">
        <v>1388</v>
      </c>
      <c r="G1368">
        <v>9.9992999999999999</v>
      </c>
      <c r="H1368" t="str">
        <f t="shared" si="22"/>
        <v>ok</v>
      </c>
    </row>
    <row r="1369" spans="1:8" x14ac:dyDescent="0.3">
      <c r="A1369" s="2">
        <v>46050</v>
      </c>
      <c r="B1369" t="s">
        <v>12</v>
      </c>
      <c r="C1369" t="s">
        <v>19</v>
      </c>
      <c r="D1369" t="s">
        <v>34</v>
      </c>
      <c r="E1369" t="s">
        <v>14</v>
      </c>
      <c r="F1369" t="s">
        <v>1389</v>
      </c>
      <c r="G1369">
        <v>10.067500000000001</v>
      </c>
      <c r="H1369" t="str">
        <f t="shared" si="22"/>
        <v>ok</v>
      </c>
    </row>
    <row r="1370" spans="1:8" x14ac:dyDescent="0.3">
      <c r="A1370" s="2">
        <v>46050</v>
      </c>
      <c r="B1370" t="s">
        <v>12</v>
      </c>
      <c r="C1370" t="s">
        <v>19</v>
      </c>
      <c r="D1370" t="s">
        <v>9</v>
      </c>
      <c r="E1370" t="s">
        <v>10</v>
      </c>
      <c r="F1370" t="s">
        <v>1390</v>
      </c>
      <c r="G1370">
        <v>9.9692000000000007</v>
      </c>
      <c r="H1370" t="str">
        <f t="shared" si="22"/>
        <v>ok</v>
      </c>
    </row>
    <row r="1371" spans="1:8" x14ac:dyDescent="0.3">
      <c r="A1371" s="2">
        <v>46050</v>
      </c>
      <c r="B1371" t="s">
        <v>23</v>
      </c>
      <c r="C1371" t="s">
        <v>8</v>
      </c>
      <c r="D1371" t="s">
        <v>34</v>
      </c>
      <c r="E1371" t="s">
        <v>14</v>
      </c>
      <c r="F1371" t="s">
        <v>1391</v>
      </c>
      <c r="G1371">
        <v>9.9989000000000008</v>
      </c>
      <c r="H1371" t="str">
        <f t="shared" si="22"/>
        <v>ok</v>
      </c>
    </row>
    <row r="1372" spans="1:8" x14ac:dyDescent="0.3">
      <c r="A1372" s="2">
        <v>46050</v>
      </c>
      <c r="B1372" t="s">
        <v>7</v>
      </c>
      <c r="C1372" t="s">
        <v>8</v>
      </c>
      <c r="D1372" t="s">
        <v>9</v>
      </c>
      <c r="E1372" t="s">
        <v>14</v>
      </c>
      <c r="F1372" t="s">
        <v>1392</v>
      </c>
      <c r="G1372">
        <v>9.9962</v>
      </c>
      <c r="H1372" t="str">
        <f t="shared" si="22"/>
        <v>ok</v>
      </c>
    </row>
    <row r="1373" spans="1:8" x14ac:dyDescent="0.3">
      <c r="A1373" s="2">
        <v>46050</v>
      </c>
      <c r="B1373" t="s">
        <v>23</v>
      </c>
      <c r="C1373" t="s">
        <v>16</v>
      </c>
      <c r="D1373" t="s">
        <v>34</v>
      </c>
      <c r="E1373" t="s">
        <v>21</v>
      </c>
      <c r="F1373" t="s">
        <v>1393</v>
      </c>
      <c r="G1373">
        <v>10.004799999999999</v>
      </c>
      <c r="H1373" t="str">
        <f t="shared" si="22"/>
        <v>ok</v>
      </c>
    </row>
    <row r="1374" spans="1:8" x14ac:dyDescent="0.3">
      <c r="A1374" s="2">
        <v>46050</v>
      </c>
      <c r="B1374" t="s">
        <v>12</v>
      </c>
      <c r="C1374" t="s">
        <v>8</v>
      </c>
      <c r="D1374" t="s">
        <v>9</v>
      </c>
      <c r="E1374" t="s">
        <v>10</v>
      </c>
      <c r="F1374" t="s">
        <v>1394</v>
      </c>
      <c r="G1374">
        <v>9.9986999999999995</v>
      </c>
      <c r="H1374" t="str">
        <f t="shared" si="22"/>
        <v>ok</v>
      </c>
    </row>
    <row r="1375" spans="1:8" x14ac:dyDescent="0.3">
      <c r="A1375" s="2">
        <v>46050</v>
      </c>
      <c r="B1375" t="s">
        <v>23</v>
      </c>
      <c r="C1375" t="s">
        <v>8</v>
      </c>
      <c r="D1375" t="s">
        <v>17</v>
      </c>
      <c r="E1375" t="s">
        <v>21</v>
      </c>
      <c r="F1375" t="s">
        <v>1395</v>
      </c>
      <c r="G1375">
        <v>9.9789999999999992</v>
      </c>
      <c r="H1375" t="str">
        <f t="shared" si="22"/>
        <v>ok</v>
      </c>
    </row>
    <row r="1376" spans="1:8" x14ac:dyDescent="0.3">
      <c r="A1376" s="2">
        <v>46050</v>
      </c>
      <c r="B1376" t="s">
        <v>12</v>
      </c>
      <c r="C1376" t="s">
        <v>19</v>
      </c>
      <c r="D1376" t="s">
        <v>9</v>
      </c>
      <c r="E1376" t="s">
        <v>28</v>
      </c>
      <c r="F1376" t="s">
        <v>1396</v>
      </c>
      <c r="G1376">
        <v>9.9641999999999999</v>
      </c>
      <c r="H1376" t="str">
        <f t="shared" si="22"/>
        <v>ok</v>
      </c>
    </row>
    <row r="1377" spans="1:8" x14ac:dyDescent="0.3">
      <c r="A1377" s="2">
        <v>46050</v>
      </c>
      <c r="B1377" t="s">
        <v>23</v>
      </c>
      <c r="C1377" t="s">
        <v>16</v>
      </c>
      <c r="D1377" t="s">
        <v>9</v>
      </c>
      <c r="E1377" t="s">
        <v>28</v>
      </c>
      <c r="F1377" t="s">
        <v>1397</v>
      </c>
      <c r="G1377">
        <v>9.9992999999999999</v>
      </c>
      <c r="H1377" t="str">
        <f t="shared" si="22"/>
        <v>ok</v>
      </c>
    </row>
    <row r="1378" spans="1:8" x14ac:dyDescent="0.3">
      <c r="A1378" s="2">
        <v>46050</v>
      </c>
      <c r="B1378" t="s">
        <v>12</v>
      </c>
      <c r="C1378" t="s">
        <v>16</v>
      </c>
      <c r="D1378" t="s">
        <v>13</v>
      </c>
      <c r="E1378" t="s">
        <v>14</v>
      </c>
      <c r="F1378" t="s">
        <v>1398</v>
      </c>
      <c r="G1378">
        <v>9.9921000000000006</v>
      </c>
      <c r="H1378" t="str">
        <f t="shared" si="22"/>
        <v>ok</v>
      </c>
    </row>
    <row r="1379" spans="1:8" x14ac:dyDescent="0.3">
      <c r="A1379" s="2">
        <v>46050</v>
      </c>
      <c r="B1379" t="s">
        <v>12</v>
      </c>
      <c r="C1379" t="s">
        <v>19</v>
      </c>
      <c r="D1379" t="s">
        <v>34</v>
      </c>
      <c r="E1379" t="s">
        <v>36</v>
      </c>
      <c r="F1379" t="s">
        <v>1399</v>
      </c>
      <c r="G1379">
        <v>10.0558</v>
      </c>
      <c r="H1379" t="str">
        <f t="shared" si="22"/>
        <v>ok</v>
      </c>
    </row>
    <row r="1380" spans="1:8" x14ac:dyDescent="0.3">
      <c r="A1380" s="2">
        <v>46050</v>
      </c>
      <c r="B1380" t="s">
        <v>12</v>
      </c>
      <c r="C1380" t="s">
        <v>16</v>
      </c>
      <c r="D1380" t="s">
        <v>34</v>
      </c>
      <c r="E1380" t="s">
        <v>21</v>
      </c>
      <c r="F1380" t="s">
        <v>1400</v>
      </c>
      <c r="G1380">
        <v>10.000500000000001</v>
      </c>
      <c r="H1380" t="str">
        <f t="shared" si="22"/>
        <v>ok</v>
      </c>
    </row>
    <row r="1381" spans="1:8" x14ac:dyDescent="0.3">
      <c r="A1381" s="2">
        <v>46050</v>
      </c>
      <c r="B1381" t="s">
        <v>12</v>
      </c>
      <c r="C1381" t="s">
        <v>16</v>
      </c>
      <c r="D1381" t="s">
        <v>34</v>
      </c>
      <c r="E1381" t="s">
        <v>28</v>
      </c>
      <c r="F1381" t="s">
        <v>1401</v>
      </c>
      <c r="G1381">
        <v>10.0083</v>
      </c>
      <c r="H1381" t="str">
        <f t="shared" si="22"/>
        <v>ok</v>
      </c>
    </row>
    <row r="1382" spans="1:8" x14ac:dyDescent="0.3">
      <c r="A1382" s="2">
        <v>46050</v>
      </c>
      <c r="B1382" t="s">
        <v>23</v>
      </c>
      <c r="C1382" t="s">
        <v>19</v>
      </c>
      <c r="D1382" t="s">
        <v>34</v>
      </c>
      <c r="E1382" t="s">
        <v>14</v>
      </c>
      <c r="F1382" t="s">
        <v>1402</v>
      </c>
      <c r="G1382">
        <v>9.9926999999999992</v>
      </c>
      <c r="H1382" t="str">
        <f t="shared" si="22"/>
        <v>ok</v>
      </c>
    </row>
    <row r="1383" spans="1:8" x14ac:dyDescent="0.3">
      <c r="A1383" s="2">
        <v>46050</v>
      </c>
      <c r="B1383" t="s">
        <v>12</v>
      </c>
      <c r="C1383" t="s">
        <v>8</v>
      </c>
      <c r="D1383" t="s">
        <v>13</v>
      </c>
      <c r="E1383" t="s">
        <v>36</v>
      </c>
      <c r="F1383" t="s">
        <v>1403</v>
      </c>
      <c r="G1383">
        <v>9.9783000000000008</v>
      </c>
      <c r="H1383" t="str">
        <f t="shared" si="22"/>
        <v>ok</v>
      </c>
    </row>
    <row r="1384" spans="1:8" x14ac:dyDescent="0.3">
      <c r="A1384" s="2">
        <v>46050</v>
      </c>
      <c r="B1384" t="s">
        <v>12</v>
      </c>
      <c r="C1384" t="s">
        <v>16</v>
      </c>
      <c r="D1384" t="s">
        <v>13</v>
      </c>
      <c r="E1384" t="s">
        <v>10</v>
      </c>
      <c r="F1384" t="s">
        <v>1404</v>
      </c>
      <c r="G1384">
        <v>10.009499999999999</v>
      </c>
      <c r="H1384" t="str">
        <f t="shared" si="22"/>
        <v>ok</v>
      </c>
    </row>
    <row r="1385" spans="1:8" x14ac:dyDescent="0.3">
      <c r="A1385" s="2">
        <v>46050</v>
      </c>
      <c r="B1385" t="s">
        <v>23</v>
      </c>
      <c r="C1385" t="s">
        <v>19</v>
      </c>
      <c r="D1385" t="s">
        <v>34</v>
      </c>
      <c r="E1385" t="s">
        <v>10</v>
      </c>
      <c r="F1385" t="s">
        <v>1405</v>
      </c>
      <c r="G1385">
        <v>10.0345</v>
      </c>
      <c r="H1385" t="str">
        <f t="shared" si="22"/>
        <v>ok</v>
      </c>
    </row>
    <row r="1386" spans="1:8" x14ac:dyDescent="0.3">
      <c r="A1386" s="2">
        <v>46050</v>
      </c>
      <c r="B1386" t="s">
        <v>12</v>
      </c>
      <c r="C1386" t="s">
        <v>8</v>
      </c>
      <c r="D1386" t="s">
        <v>9</v>
      </c>
      <c r="E1386" t="s">
        <v>21</v>
      </c>
      <c r="F1386" t="s">
        <v>1406</v>
      </c>
      <c r="G1386">
        <v>10.0259</v>
      </c>
      <c r="H1386" t="str">
        <f t="shared" si="22"/>
        <v>ok</v>
      </c>
    </row>
    <row r="1387" spans="1:8" x14ac:dyDescent="0.3">
      <c r="A1387" s="2">
        <v>46050</v>
      </c>
      <c r="B1387" t="s">
        <v>12</v>
      </c>
      <c r="C1387" t="s">
        <v>19</v>
      </c>
      <c r="D1387" t="s">
        <v>34</v>
      </c>
      <c r="E1387" t="s">
        <v>14</v>
      </c>
      <c r="F1387" t="s">
        <v>1407</v>
      </c>
      <c r="G1387">
        <v>10.029</v>
      </c>
      <c r="H1387" t="str">
        <f t="shared" si="22"/>
        <v>ok</v>
      </c>
    </row>
    <row r="1388" spans="1:8" x14ac:dyDescent="0.3">
      <c r="A1388" s="2">
        <v>46050</v>
      </c>
      <c r="B1388" t="s">
        <v>12</v>
      </c>
      <c r="C1388" t="s">
        <v>8</v>
      </c>
      <c r="D1388" t="s">
        <v>9</v>
      </c>
      <c r="E1388" t="s">
        <v>21</v>
      </c>
      <c r="F1388" t="s">
        <v>1408</v>
      </c>
      <c r="G1388">
        <v>9.9990000000000006</v>
      </c>
      <c r="H1388" t="str">
        <f t="shared" si="22"/>
        <v>ok</v>
      </c>
    </row>
    <row r="1389" spans="1:8" x14ac:dyDescent="0.3">
      <c r="A1389" s="2">
        <v>46050</v>
      </c>
      <c r="B1389" t="s">
        <v>12</v>
      </c>
      <c r="C1389" t="s">
        <v>19</v>
      </c>
      <c r="D1389" t="s">
        <v>17</v>
      </c>
      <c r="E1389" t="s">
        <v>28</v>
      </c>
      <c r="F1389" t="s">
        <v>1409</v>
      </c>
      <c r="G1389">
        <v>9.9878</v>
      </c>
      <c r="H1389" t="str">
        <f t="shared" si="22"/>
        <v>ok</v>
      </c>
    </row>
    <row r="1390" spans="1:8" x14ac:dyDescent="0.3">
      <c r="A1390" s="2">
        <v>46050</v>
      </c>
      <c r="B1390" t="s">
        <v>7</v>
      </c>
      <c r="C1390" t="s">
        <v>19</v>
      </c>
      <c r="D1390" t="s">
        <v>34</v>
      </c>
      <c r="E1390" t="s">
        <v>28</v>
      </c>
      <c r="F1390" t="s">
        <v>1410</v>
      </c>
      <c r="G1390">
        <v>9.9910999999999994</v>
      </c>
      <c r="H1390" t="str">
        <f t="shared" si="22"/>
        <v>ok</v>
      </c>
    </row>
    <row r="1391" spans="1:8" x14ac:dyDescent="0.3">
      <c r="A1391" s="2">
        <v>46050</v>
      </c>
      <c r="B1391" t="s">
        <v>7</v>
      </c>
      <c r="C1391" t="s">
        <v>16</v>
      </c>
      <c r="D1391" t="s">
        <v>13</v>
      </c>
      <c r="E1391" t="s">
        <v>36</v>
      </c>
      <c r="F1391" t="s">
        <v>1411</v>
      </c>
      <c r="G1391">
        <v>10.017799999999999</v>
      </c>
      <c r="H1391" t="str">
        <f t="shared" si="22"/>
        <v>ok</v>
      </c>
    </row>
    <row r="1392" spans="1:8" x14ac:dyDescent="0.3">
      <c r="A1392" s="2">
        <v>46050</v>
      </c>
      <c r="B1392" t="s">
        <v>12</v>
      </c>
      <c r="C1392" t="s">
        <v>8</v>
      </c>
      <c r="D1392" t="s">
        <v>17</v>
      </c>
      <c r="E1392" t="s">
        <v>14</v>
      </c>
      <c r="F1392" t="s">
        <v>1412</v>
      </c>
      <c r="G1392">
        <v>10.0076</v>
      </c>
      <c r="H1392" t="str">
        <f t="shared" si="22"/>
        <v>ok</v>
      </c>
    </row>
    <row r="1393" spans="1:8" x14ac:dyDescent="0.3">
      <c r="A1393" s="2">
        <v>46050</v>
      </c>
      <c r="B1393" t="s">
        <v>7</v>
      </c>
      <c r="C1393" t="s">
        <v>16</v>
      </c>
      <c r="D1393" t="s">
        <v>13</v>
      </c>
      <c r="E1393" t="s">
        <v>36</v>
      </c>
      <c r="F1393" t="s">
        <v>1413</v>
      </c>
      <c r="G1393">
        <v>9.9946999999999999</v>
      </c>
      <c r="H1393" t="str">
        <f t="shared" si="22"/>
        <v>ok</v>
      </c>
    </row>
    <row r="1394" spans="1:8" x14ac:dyDescent="0.3">
      <c r="A1394" s="2">
        <v>46050</v>
      </c>
      <c r="B1394" t="s">
        <v>23</v>
      </c>
      <c r="C1394" t="s">
        <v>8</v>
      </c>
      <c r="D1394" t="s">
        <v>17</v>
      </c>
      <c r="E1394" t="s">
        <v>10</v>
      </c>
      <c r="F1394" t="s">
        <v>1414</v>
      </c>
      <c r="G1394">
        <v>9.9712999999999994</v>
      </c>
      <c r="H1394" t="str">
        <f t="shared" si="22"/>
        <v>ok</v>
      </c>
    </row>
    <row r="1395" spans="1:8" x14ac:dyDescent="0.3">
      <c r="A1395" s="2">
        <v>46050</v>
      </c>
      <c r="B1395" t="s">
        <v>12</v>
      </c>
      <c r="C1395" t="s">
        <v>16</v>
      </c>
      <c r="D1395" t="s">
        <v>34</v>
      </c>
      <c r="E1395" t="s">
        <v>36</v>
      </c>
      <c r="F1395" t="s">
        <v>1415</v>
      </c>
      <c r="G1395">
        <v>9.9991000000000003</v>
      </c>
      <c r="H1395" t="str">
        <f t="shared" si="22"/>
        <v>ok</v>
      </c>
    </row>
    <row r="1396" spans="1:8" x14ac:dyDescent="0.3">
      <c r="A1396" s="2">
        <v>46050</v>
      </c>
      <c r="B1396" t="s">
        <v>12</v>
      </c>
      <c r="C1396" t="s">
        <v>8</v>
      </c>
      <c r="D1396" t="s">
        <v>13</v>
      </c>
      <c r="E1396" t="s">
        <v>14</v>
      </c>
      <c r="F1396" t="s">
        <v>1416</v>
      </c>
      <c r="G1396">
        <v>10.026899999999999</v>
      </c>
      <c r="H1396" t="str">
        <f t="shared" si="22"/>
        <v>ok</v>
      </c>
    </row>
    <row r="1397" spans="1:8" x14ac:dyDescent="0.3">
      <c r="A1397" s="2">
        <v>46050</v>
      </c>
      <c r="B1397" t="s">
        <v>7</v>
      </c>
      <c r="C1397" t="s">
        <v>16</v>
      </c>
      <c r="D1397" t="s">
        <v>34</v>
      </c>
      <c r="E1397" t="s">
        <v>28</v>
      </c>
      <c r="F1397" t="s">
        <v>1417</v>
      </c>
      <c r="G1397">
        <v>9.9885000000000002</v>
      </c>
      <c r="H1397" t="str">
        <f t="shared" si="22"/>
        <v>ok</v>
      </c>
    </row>
    <row r="1398" spans="1:8" x14ac:dyDescent="0.3">
      <c r="A1398" s="2">
        <v>46050</v>
      </c>
      <c r="B1398" t="s">
        <v>12</v>
      </c>
      <c r="C1398" t="s">
        <v>16</v>
      </c>
      <c r="D1398" t="s">
        <v>9</v>
      </c>
      <c r="E1398" t="s">
        <v>28</v>
      </c>
      <c r="F1398" t="s">
        <v>1418</v>
      </c>
      <c r="G1398">
        <v>10.0855</v>
      </c>
      <c r="H1398" t="str">
        <f t="shared" si="22"/>
        <v>ok</v>
      </c>
    </row>
    <row r="1399" spans="1:8" x14ac:dyDescent="0.3">
      <c r="A1399" s="2">
        <v>46050</v>
      </c>
      <c r="B1399" t="s">
        <v>23</v>
      </c>
      <c r="C1399" t="s">
        <v>19</v>
      </c>
      <c r="D1399" t="s">
        <v>13</v>
      </c>
      <c r="E1399" t="s">
        <v>10</v>
      </c>
      <c r="F1399" t="s">
        <v>1419</v>
      </c>
      <c r="G1399">
        <v>9.9757999999999996</v>
      </c>
      <c r="H1399" t="str">
        <f t="shared" si="22"/>
        <v>ok</v>
      </c>
    </row>
    <row r="1400" spans="1:8" x14ac:dyDescent="0.3">
      <c r="A1400" s="2">
        <v>46050</v>
      </c>
      <c r="B1400" t="s">
        <v>23</v>
      </c>
      <c r="C1400" t="s">
        <v>19</v>
      </c>
      <c r="D1400" t="s">
        <v>34</v>
      </c>
      <c r="E1400" t="s">
        <v>14</v>
      </c>
      <c r="F1400" t="s">
        <v>1420</v>
      </c>
      <c r="G1400">
        <v>9.9796999999999993</v>
      </c>
      <c r="H1400" t="str">
        <f t="shared" si="22"/>
        <v>ok</v>
      </c>
    </row>
    <row r="1401" spans="1:8" x14ac:dyDescent="0.3">
      <c r="A1401" s="2">
        <v>46050</v>
      </c>
      <c r="B1401" t="s">
        <v>23</v>
      </c>
      <c r="C1401" t="s">
        <v>8</v>
      </c>
      <c r="D1401" t="s">
        <v>17</v>
      </c>
      <c r="E1401" t="s">
        <v>36</v>
      </c>
      <c r="F1401" t="s">
        <v>1421</v>
      </c>
      <c r="G1401">
        <v>10.038500000000001</v>
      </c>
      <c r="H1401" t="str">
        <f t="shared" si="22"/>
        <v>ok</v>
      </c>
    </row>
    <row r="1402" spans="1:8" x14ac:dyDescent="0.3">
      <c r="A1402" s="2">
        <v>46051</v>
      </c>
      <c r="B1402" t="s">
        <v>12</v>
      </c>
      <c r="C1402" t="s">
        <v>16</v>
      </c>
      <c r="D1402" t="s">
        <v>34</v>
      </c>
      <c r="E1402" t="s">
        <v>21</v>
      </c>
      <c r="F1402" t="s">
        <v>1422</v>
      </c>
      <c r="G1402">
        <v>9.9957999999999991</v>
      </c>
      <c r="H1402" t="str">
        <f t="shared" si="22"/>
        <v>ok</v>
      </c>
    </row>
    <row r="1403" spans="1:8" x14ac:dyDescent="0.3">
      <c r="A1403" s="2">
        <v>46051</v>
      </c>
      <c r="B1403" t="s">
        <v>23</v>
      </c>
      <c r="C1403" t="s">
        <v>19</v>
      </c>
      <c r="D1403" t="s">
        <v>9</v>
      </c>
      <c r="E1403" t="s">
        <v>21</v>
      </c>
      <c r="F1403" t="s">
        <v>1423</v>
      </c>
      <c r="G1403">
        <v>9.9968000000000004</v>
      </c>
      <c r="H1403" t="str">
        <f t="shared" si="22"/>
        <v>ok</v>
      </c>
    </row>
    <row r="1404" spans="1:8" x14ac:dyDescent="0.3">
      <c r="A1404" s="2">
        <v>46051</v>
      </c>
      <c r="B1404" t="s">
        <v>12</v>
      </c>
      <c r="C1404" t="s">
        <v>8</v>
      </c>
      <c r="D1404" t="s">
        <v>13</v>
      </c>
      <c r="E1404" t="s">
        <v>14</v>
      </c>
      <c r="F1404" t="s">
        <v>1424</v>
      </c>
      <c r="G1404">
        <v>10.0565</v>
      </c>
      <c r="H1404" t="str">
        <f t="shared" si="22"/>
        <v>ok</v>
      </c>
    </row>
    <row r="1405" spans="1:8" x14ac:dyDescent="0.3">
      <c r="A1405" s="2">
        <v>46051</v>
      </c>
      <c r="B1405" t="s">
        <v>23</v>
      </c>
      <c r="C1405" t="s">
        <v>8</v>
      </c>
      <c r="D1405" t="s">
        <v>34</v>
      </c>
      <c r="E1405" t="s">
        <v>36</v>
      </c>
      <c r="F1405" t="s">
        <v>1425</v>
      </c>
      <c r="G1405">
        <v>9.9877000000000002</v>
      </c>
      <c r="H1405" t="str">
        <f t="shared" si="22"/>
        <v>ok</v>
      </c>
    </row>
    <row r="1406" spans="1:8" x14ac:dyDescent="0.3">
      <c r="A1406" s="2">
        <v>46051</v>
      </c>
      <c r="B1406" t="s">
        <v>12</v>
      </c>
      <c r="C1406" t="s">
        <v>16</v>
      </c>
      <c r="D1406" t="s">
        <v>13</v>
      </c>
      <c r="E1406" t="s">
        <v>10</v>
      </c>
      <c r="F1406" t="s">
        <v>1426</v>
      </c>
      <c r="G1406">
        <v>10.048500000000001</v>
      </c>
      <c r="H1406" t="str">
        <f t="shared" si="22"/>
        <v>ok</v>
      </c>
    </row>
    <row r="1407" spans="1:8" x14ac:dyDescent="0.3">
      <c r="A1407" s="2">
        <v>46051</v>
      </c>
      <c r="B1407" t="s">
        <v>7</v>
      </c>
      <c r="C1407" t="s">
        <v>19</v>
      </c>
      <c r="D1407" t="s">
        <v>9</v>
      </c>
      <c r="E1407" t="s">
        <v>21</v>
      </c>
      <c r="F1407" t="s">
        <v>1427</v>
      </c>
      <c r="G1407">
        <v>9.9954000000000001</v>
      </c>
      <c r="H1407" t="str">
        <f t="shared" si="22"/>
        <v>ok</v>
      </c>
    </row>
    <row r="1408" spans="1:8" x14ac:dyDescent="0.3">
      <c r="A1408" s="2">
        <v>46051</v>
      </c>
      <c r="B1408" t="s">
        <v>23</v>
      </c>
      <c r="C1408" t="s">
        <v>16</v>
      </c>
      <c r="D1408" t="s">
        <v>9</v>
      </c>
      <c r="E1408" t="s">
        <v>36</v>
      </c>
      <c r="F1408" t="s">
        <v>1428</v>
      </c>
      <c r="G1408">
        <v>10.039400000000001</v>
      </c>
      <c r="H1408" t="str">
        <f t="shared" si="22"/>
        <v>ok</v>
      </c>
    </row>
    <row r="1409" spans="1:8" x14ac:dyDescent="0.3">
      <c r="A1409" s="2">
        <v>46051</v>
      </c>
      <c r="B1409" t="s">
        <v>7</v>
      </c>
      <c r="C1409" t="s">
        <v>8</v>
      </c>
      <c r="D1409" t="s">
        <v>13</v>
      </c>
      <c r="E1409" t="s">
        <v>28</v>
      </c>
      <c r="F1409" t="s">
        <v>1429</v>
      </c>
      <c r="G1409">
        <v>9.9754000000000005</v>
      </c>
      <c r="H1409" t="str">
        <f t="shared" si="22"/>
        <v>ok</v>
      </c>
    </row>
    <row r="1410" spans="1:8" x14ac:dyDescent="0.3">
      <c r="A1410" s="2">
        <v>46051</v>
      </c>
      <c r="B1410" t="s">
        <v>23</v>
      </c>
      <c r="C1410" t="s">
        <v>16</v>
      </c>
      <c r="D1410" t="s">
        <v>9</v>
      </c>
      <c r="E1410" t="s">
        <v>28</v>
      </c>
      <c r="F1410" t="s">
        <v>1430</v>
      </c>
      <c r="G1410">
        <v>10.036799999999999</v>
      </c>
      <c r="H1410" t="str">
        <f t="shared" si="22"/>
        <v>ok</v>
      </c>
    </row>
    <row r="1411" spans="1:8" x14ac:dyDescent="0.3">
      <c r="A1411" s="2">
        <v>46051</v>
      </c>
      <c r="B1411" t="s">
        <v>23</v>
      </c>
      <c r="C1411" t="s">
        <v>8</v>
      </c>
      <c r="D1411" t="s">
        <v>17</v>
      </c>
      <c r="E1411" t="s">
        <v>28</v>
      </c>
      <c r="F1411" t="s">
        <v>1431</v>
      </c>
      <c r="G1411">
        <v>10.030099999999999</v>
      </c>
      <c r="H1411" t="str">
        <f t="shared" si="22"/>
        <v>ok</v>
      </c>
    </row>
    <row r="1412" spans="1:8" x14ac:dyDescent="0.3">
      <c r="A1412" s="2">
        <v>46051</v>
      </c>
      <c r="B1412" t="s">
        <v>7</v>
      </c>
      <c r="C1412" t="s">
        <v>16</v>
      </c>
      <c r="D1412" t="s">
        <v>9</v>
      </c>
      <c r="E1412" t="s">
        <v>10</v>
      </c>
      <c r="F1412" t="s">
        <v>1432</v>
      </c>
      <c r="G1412">
        <v>9.9786000000000001</v>
      </c>
      <c r="H1412" t="str">
        <f t="shared" si="22"/>
        <v>ok</v>
      </c>
    </row>
    <row r="1413" spans="1:8" x14ac:dyDescent="0.3">
      <c r="A1413" s="2">
        <v>46051</v>
      </c>
      <c r="B1413" t="s">
        <v>12</v>
      </c>
      <c r="C1413" t="s">
        <v>19</v>
      </c>
      <c r="D1413" t="s">
        <v>17</v>
      </c>
      <c r="E1413" t="s">
        <v>36</v>
      </c>
      <c r="F1413" t="s">
        <v>1433</v>
      </c>
      <c r="G1413">
        <v>10.039199999999999</v>
      </c>
      <c r="H1413" t="str">
        <f t="shared" si="22"/>
        <v>ok</v>
      </c>
    </row>
    <row r="1414" spans="1:8" x14ac:dyDescent="0.3">
      <c r="A1414" s="2">
        <v>46051</v>
      </c>
      <c r="B1414" t="s">
        <v>23</v>
      </c>
      <c r="C1414" t="s">
        <v>8</v>
      </c>
      <c r="D1414" t="s">
        <v>13</v>
      </c>
      <c r="E1414" t="s">
        <v>21</v>
      </c>
      <c r="F1414" t="s">
        <v>1434</v>
      </c>
      <c r="G1414">
        <v>9.9867000000000008</v>
      </c>
      <c r="H1414" t="str">
        <f t="shared" ref="H1414:H1477" si="23">IF(OR(G1414&gt;10.5,G1414&lt;9.95),"Defect","ok")</f>
        <v>ok</v>
      </c>
    </row>
    <row r="1415" spans="1:8" x14ac:dyDescent="0.3">
      <c r="A1415" s="2">
        <v>46051</v>
      </c>
      <c r="B1415" t="s">
        <v>7</v>
      </c>
      <c r="C1415" t="s">
        <v>16</v>
      </c>
      <c r="D1415" t="s">
        <v>13</v>
      </c>
      <c r="E1415" t="s">
        <v>14</v>
      </c>
      <c r="F1415" t="s">
        <v>1435</v>
      </c>
      <c r="G1415">
        <v>9.9708000000000006</v>
      </c>
      <c r="H1415" t="str">
        <f t="shared" si="23"/>
        <v>ok</v>
      </c>
    </row>
    <row r="1416" spans="1:8" x14ac:dyDescent="0.3">
      <c r="A1416" s="2">
        <v>46051</v>
      </c>
      <c r="B1416" t="s">
        <v>7</v>
      </c>
      <c r="C1416" t="s">
        <v>16</v>
      </c>
      <c r="D1416" t="s">
        <v>9</v>
      </c>
      <c r="E1416" t="s">
        <v>10</v>
      </c>
      <c r="F1416" t="s">
        <v>1436</v>
      </c>
      <c r="G1416">
        <v>10.0166</v>
      </c>
      <c r="H1416" t="str">
        <f t="shared" si="23"/>
        <v>ok</v>
      </c>
    </row>
    <row r="1417" spans="1:8" x14ac:dyDescent="0.3">
      <c r="A1417" s="2">
        <v>46051</v>
      </c>
      <c r="B1417" t="s">
        <v>7</v>
      </c>
      <c r="C1417" t="s">
        <v>19</v>
      </c>
      <c r="D1417" t="s">
        <v>9</v>
      </c>
      <c r="E1417" t="s">
        <v>28</v>
      </c>
      <c r="F1417" t="s">
        <v>1437</v>
      </c>
      <c r="G1417">
        <v>9.9629999999999992</v>
      </c>
      <c r="H1417" t="str">
        <f t="shared" si="23"/>
        <v>ok</v>
      </c>
    </row>
    <row r="1418" spans="1:8" x14ac:dyDescent="0.3">
      <c r="A1418" s="2">
        <v>46051</v>
      </c>
      <c r="B1418" t="s">
        <v>12</v>
      </c>
      <c r="C1418" t="s">
        <v>16</v>
      </c>
      <c r="D1418" t="s">
        <v>17</v>
      </c>
      <c r="E1418" t="s">
        <v>36</v>
      </c>
      <c r="F1418" t="s">
        <v>1438</v>
      </c>
      <c r="G1418">
        <v>10.014900000000001</v>
      </c>
      <c r="H1418" t="str">
        <f t="shared" si="23"/>
        <v>ok</v>
      </c>
    </row>
    <row r="1419" spans="1:8" x14ac:dyDescent="0.3">
      <c r="A1419" s="2">
        <v>46051</v>
      </c>
      <c r="B1419" t="s">
        <v>12</v>
      </c>
      <c r="C1419" t="s">
        <v>19</v>
      </c>
      <c r="D1419" t="s">
        <v>17</v>
      </c>
      <c r="E1419" t="s">
        <v>10</v>
      </c>
      <c r="F1419" t="s">
        <v>1439</v>
      </c>
      <c r="G1419">
        <v>10.0121</v>
      </c>
      <c r="H1419" t="str">
        <f t="shared" si="23"/>
        <v>ok</v>
      </c>
    </row>
    <row r="1420" spans="1:8" x14ac:dyDescent="0.3">
      <c r="A1420" s="2">
        <v>46051</v>
      </c>
      <c r="B1420" t="s">
        <v>23</v>
      </c>
      <c r="C1420" t="s">
        <v>8</v>
      </c>
      <c r="D1420" t="s">
        <v>13</v>
      </c>
      <c r="E1420" t="s">
        <v>14</v>
      </c>
      <c r="F1420" t="s">
        <v>1440</v>
      </c>
      <c r="G1420">
        <v>9.9955999999999996</v>
      </c>
      <c r="H1420" t="str">
        <f t="shared" si="23"/>
        <v>ok</v>
      </c>
    </row>
    <row r="1421" spans="1:8" x14ac:dyDescent="0.3">
      <c r="A1421" s="2">
        <v>46051</v>
      </c>
      <c r="B1421" t="s">
        <v>23</v>
      </c>
      <c r="C1421" t="s">
        <v>19</v>
      </c>
      <c r="D1421" t="s">
        <v>17</v>
      </c>
      <c r="E1421" t="s">
        <v>21</v>
      </c>
      <c r="F1421" t="s">
        <v>1441</v>
      </c>
      <c r="G1421">
        <v>10.008699999999999</v>
      </c>
      <c r="H1421" t="str">
        <f t="shared" si="23"/>
        <v>ok</v>
      </c>
    </row>
    <row r="1422" spans="1:8" x14ac:dyDescent="0.3">
      <c r="A1422" s="2">
        <v>46051</v>
      </c>
      <c r="B1422" t="s">
        <v>23</v>
      </c>
      <c r="C1422" t="s">
        <v>16</v>
      </c>
      <c r="D1422" t="s">
        <v>9</v>
      </c>
      <c r="E1422" t="s">
        <v>28</v>
      </c>
      <c r="F1422" t="s">
        <v>1442</v>
      </c>
      <c r="G1422">
        <v>9.9955999999999996</v>
      </c>
      <c r="H1422" t="str">
        <f t="shared" si="23"/>
        <v>ok</v>
      </c>
    </row>
    <row r="1423" spans="1:8" x14ac:dyDescent="0.3">
      <c r="A1423" s="2">
        <v>46051</v>
      </c>
      <c r="B1423" t="s">
        <v>7</v>
      </c>
      <c r="C1423" t="s">
        <v>19</v>
      </c>
      <c r="D1423" t="s">
        <v>17</v>
      </c>
      <c r="E1423" t="s">
        <v>21</v>
      </c>
      <c r="F1423" t="s">
        <v>1443</v>
      </c>
      <c r="G1423">
        <v>9.9748999999999999</v>
      </c>
      <c r="H1423" t="str">
        <f t="shared" si="23"/>
        <v>ok</v>
      </c>
    </row>
    <row r="1424" spans="1:8" x14ac:dyDescent="0.3">
      <c r="A1424" s="2">
        <v>46051</v>
      </c>
      <c r="B1424" t="s">
        <v>23</v>
      </c>
      <c r="C1424" t="s">
        <v>19</v>
      </c>
      <c r="D1424" t="s">
        <v>17</v>
      </c>
      <c r="E1424" t="s">
        <v>28</v>
      </c>
      <c r="F1424" t="s">
        <v>1444</v>
      </c>
      <c r="G1424">
        <v>10.0344</v>
      </c>
      <c r="H1424" t="str">
        <f t="shared" si="23"/>
        <v>ok</v>
      </c>
    </row>
    <row r="1425" spans="1:8" x14ac:dyDescent="0.3">
      <c r="A1425" s="2">
        <v>46051</v>
      </c>
      <c r="B1425" t="s">
        <v>7</v>
      </c>
      <c r="C1425" t="s">
        <v>19</v>
      </c>
      <c r="D1425" t="s">
        <v>34</v>
      </c>
      <c r="E1425" t="s">
        <v>10</v>
      </c>
      <c r="F1425" t="s">
        <v>1445</v>
      </c>
      <c r="G1425">
        <v>9.9720999999999993</v>
      </c>
      <c r="H1425" t="str">
        <f t="shared" si="23"/>
        <v>ok</v>
      </c>
    </row>
    <row r="1426" spans="1:8" x14ac:dyDescent="0.3">
      <c r="A1426" s="2">
        <v>46051</v>
      </c>
      <c r="B1426" t="s">
        <v>23</v>
      </c>
      <c r="C1426" t="s">
        <v>8</v>
      </c>
      <c r="D1426" t="s">
        <v>9</v>
      </c>
      <c r="E1426" t="s">
        <v>36</v>
      </c>
      <c r="F1426" t="s">
        <v>1446</v>
      </c>
      <c r="G1426">
        <v>10.037699999999999</v>
      </c>
      <c r="H1426" t="str">
        <f t="shared" si="23"/>
        <v>ok</v>
      </c>
    </row>
    <row r="1427" spans="1:8" x14ac:dyDescent="0.3">
      <c r="A1427" s="2">
        <v>46051</v>
      </c>
      <c r="B1427" t="s">
        <v>12</v>
      </c>
      <c r="C1427" t="s">
        <v>8</v>
      </c>
      <c r="D1427" t="s">
        <v>9</v>
      </c>
      <c r="E1427" t="s">
        <v>14</v>
      </c>
      <c r="F1427" t="s">
        <v>1447</v>
      </c>
      <c r="G1427">
        <v>10.004799999999999</v>
      </c>
      <c r="H1427" t="str">
        <f t="shared" si="23"/>
        <v>ok</v>
      </c>
    </row>
    <row r="1428" spans="1:8" x14ac:dyDescent="0.3">
      <c r="A1428" s="2">
        <v>46051</v>
      </c>
      <c r="B1428" t="s">
        <v>23</v>
      </c>
      <c r="C1428" t="s">
        <v>19</v>
      </c>
      <c r="D1428" t="s">
        <v>9</v>
      </c>
      <c r="E1428" t="s">
        <v>21</v>
      </c>
      <c r="F1428" t="s">
        <v>1448</v>
      </c>
      <c r="G1428">
        <v>9.9960000000000004</v>
      </c>
      <c r="H1428" t="str">
        <f t="shared" si="23"/>
        <v>ok</v>
      </c>
    </row>
    <row r="1429" spans="1:8" x14ac:dyDescent="0.3">
      <c r="A1429" s="2">
        <v>46051</v>
      </c>
      <c r="B1429" t="s">
        <v>7</v>
      </c>
      <c r="C1429" t="s">
        <v>8</v>
      </c>
      <c r="D1429" t="s">
        <v>9</v>
      </c>
      <c r="E1429" t="s">
        <v>36</v>
      </c>
      <c r="F1429" t="s">
        <v>1449</v>
      </c>
      <c r="G1429">
        <v>9.9921000000000006</v>
      </c>
      <c r="H1429" t="str">
        <f t="shared" si="23"/>
        <v>ok</v>
      </c>
    </row>
    <row r="1430" spans="1:8" x14ac:dyDescent="0.3">
      <c r="A1430" s="2">
        <v>46051</v>
      </c>
      <c r="B1430" t="s">
        <v>23</v>
      </c>
      <c r="C1430" t="s">
        <v>8</v>
      </c>
      <c r="D1430" t="s">
        <v>17</v>
      </c>
      <c r="E1430" t="s">
        <v>14</v>
      </c>
      <c r="F1430" t="s">
        <v>1450</v>
      </c>
      <c r="G1430">
        <v>9.9894999999999996</v>
      </c>
      <c r="H1430" t="str">
        <f t="shared" si="23"/>
        <v>ok</v>
      </c>
    </row>
    <row r="1431" spans="1:8" x14ac:dyDescent="0.3">
      <c r="A1431" s="2">
        <v>46051</v>
      </c>
      <c r="B1431" t="s">
        <v>7</v>
      </c>
      <c r="C1431" t="s">
        <v>19</v>
      </c>
      <c r="D1431" t="s">
        <v>13</v>
      </c>
      <c r="E1431" t="s">
        <v>36</v>
      </c>
      <c r="F1431" t="s">
        <v>1451</v>
      </c>
      <c r="G1431">
        <v>10.0246</v>
      </c>
      <c r="H1431" t="str">
        <f t="shared" si="23"/>
        <v>ok</v>
      </c>
    </row>
    <row r="1432" spans="1:8" x14ac:dyDescent="0.3">
      <c r="A1432" s="2">
        <v>46051</v>
      </c>
      <c r="B1432" t="s">
        <v>23</v>
      </c>
      <c r="C1432" t="s">
        <v>16</v>
      </c>
      <c r="D1432" t="s">
        <v>9</v>
      </c>
      <c r="E1432" t="s">
        <v>28</v>
      </c>
      <c r="F1432" t="s">
        <v>1452</v>
      </c>
      <c r="G1432">
        <v>10.0093</v>
      </c>
      <c r="H1432" t="str">
        <f t="shared" si="23"/>
        <v>ok</v>
      </c>
    </row>
    <row r="1433" spans="1:8" x14ac:dyDescent="0.3">
      <c r="A1433" s="2">
        <v>46051</v>
      </c>
      <c r="B1433" t="s">
        <v>23</v>
      </c>
      <c r="C1433" t="s">
        <v>16</v>
      </c>
      <c r="D1433" t="s">
        <v>13</v>
      </c>
      <c r="E1433" t="s">
        <v>36</v>
      </c>
      <c r="F1433" t="s">
        <v>1453</v>
      </c>
      <c r="G1433">
        <v>10.025700000000001</v>
      </c>
      <c r="H1433" t="str">
        <f t="shared" si="23"/>
        <v>ok</v>
      </c>
    </row>
    <row r="1434" spans="1:8" x14ac:dyDescent="0.3">
      <c r="A1434" s="2">
        <v>46051</v>
      </c>
      <c r="B1434" t="s">
        <v>23</v>
      </c>
      <c r="C1434" t="s">
        <v>8</v>
      </c>
      <c r="D1434" t="s">
        <v>34</v>
      </c>
      <c r="E1434" t="s">
        <v>10</v>
      </c>
      <c r="F1434" t="s">
        <v>1454</v>
      </c>
      <c r="G1434">
        <v>10.0266</v>
      </c>
      <c r="H1434" t="str">
        <f t="shared" si="23"/>
        <v>ok</v>
      </c>
    </row>
    <row r="1435" spans="1:8" x14ac:dyDescent="0.3">
      <c r="A1435" s="2">
        <v>46051</v>
      </c>
      <c r="B1435" t="s">
        <v>12</v>
      </c>
      <c r="C1435" t="s">
        <v>16</v>
      </c>
      <c r="D1435" t="s">
        <v>34</v>
      </c>
      <c r="E1435" t="s">
        <v>14</v>
      </c>
      <c r="F1435" t="s">
        <v>1455</v>
      </c>
      <c r="G1435">
        <v>10.026300000000001</v>
      </c>
      <c r="H1435" t="str">
        <f t="shared" si="23"/>
        <v>ok</v>
      </c>
    </row>
    <row r="1436" spans="1:8" x14ac:dyDescent="0.3">
      <c r="A1436" s="2">
        <v>46051</v>
      </c>
      <c r="B1436" t="s">
        <v>12</v>
      </c>
      <c r="C1436" t="s">
        <v>19</v>
      </c>
      <c r="D1436" t="s">
        <v>34</v>
      </c>
      <c r="E1436" t="s">
        <v>28</v>
      </c>
      <c r="F1436" t="s">
        <v>1456</v>
      </c>
      <c r="G1436">
        <v>10.017799999999999</v>
      </c>
      <c r="H1436" t="str">
        <f t="shared" si="23"/>
        <v>ok</v>
      </c>
    </row>
    <row r="1437" spans="1:8" x14ac:dyDescent="0.3">
      <c r="A1437" s="2">
        <v>46051</v>
      </c>
      <c r="B1437" t="s">
        <v>7</v>
      </c>
      <c r="C1437" t="s">
        <v>8</v>
      </c>
      <c r="D1437" t="s">
        <v>34</v>
      </c>
      <c r="E1437" t="s">
        <v>21</v>
      </c>
      <c r="F1437" t="s">
        <v>1457</v>
      </c>
      <c r="G1437">
        <v>9.9901999999999997</v>
      </c>
      <c r="H1437" t="str">
        <f t="shared" si="23"/>
        <v>ok</v>
      </c>
    </row>
    <row r="1438" spans="1:8" x14ac:dyDescent="0.3">
      <c r="A1438" s="2">
        <v>46051</v>
      </c>
      <c r="B1438" t="s">
        <v>7</v>
      </c>
      <c r="C1438" t="s">
        <v>19</v>
      </c>
      <c r="D1438" t="s">
        <v>13</v>
      </c>
      <c r="E1438" t="s">
        <v>36</v>
      </c>
      <c r="F1438" t="s">
        <v>1458</v>
      </c>
      <c r="G1438">
        <v>10.017200000000001</v>
      </c>
      <c r="H1438" t="str">
        <f t="shared" si="23"/>
        <v>ok</v>
      </c>
    </row>
    <row r="1439" spans="1:8" x14ac:dyDescent="0.3">
      <c r="A1439" s="2">
        <v>46051</v>
      </c>
      <c r="B1439" t="s">
        <v>12</v>
      </c>
      <c r="C1439" t="s">
        <v>16</v>
      </c>
      <c r="D1439" t="s">
        <v>13</v>
      </c>
      <c r="E1439" t="s">
        <v>10</v>
      </c>
      <c r="F1439" t="s">
        <v>1459</v>
      </c>
      <c r="G1439">
        <v>10.0228</v>
      </c>
      <c r="H1439" t="str">
        <f t="shared" si="23"/>
        <v>ok</v>
      </c>
    </row>
    <row r="1440" spans="1:8" x14ac:dyDescent="0.3">
      <c r="A1440" s="2">
        <v>46051</v>
      </c>
      <c r="B1440" t="s">
        <v>7</v>
      </c>
      <c r="C1440" t="s">
        <v>8</v>
      </c>
      <c r="D1440" t="s">
        <v>13</v>
      </c>
      <c r="E1440" t="s">
        <v>21</v>
      </c>
      <c r="F1440" t="s">
        <v>1460</v>
      </c>
      <c r="G1440">
        <v>9.9879999999999995</v>
      </c>
      <c r="H1440" t="str">
        <f t="shared" si="23"/>
        <v>ok</v>
      </c>
    </row>
    <row r="1441" spans="1:8" x14ac:dyDescent="0.3">
      <c r="A1441" s="2">
        <v>46051</v>
      </c>
      <c r="B1441" t="s">
        <v>23</v>
      </c>
      <c r="C1441" t="s">
        <v>16</v>
      </c>
      <c r="D1441" t="s">
        <v>17</v>
      </c>
      <c r="E1441" t="s">
        <v>14</v>
      </c>
      <c r="F1441" t="s">
        <v>1461</v>
      </c>
      <c r="G1441">
        <v>10.0093</v>
      </c>
      <c r="H1441" t="str">
        <f t="shared" si="23"/>
        <v>ok</v>
      </c>
    </row>
    <row r="1442" spans="1:8" x14ac:dyDescent="0.3">
      <c r="A1442" s="2">
        <v>46051</v>
      </c>
      <c r="B1442" t="s">
        <v>7</v>
      </c>
      <c r="C1442" t="s">
        <v>8</v>
      </c>
      <c r="D1442" t="s">
        <v>13</v>
      </c>
      <c r="E1442" t="s">
        <v>21</v>
      </c>
      <c r="F1442" t="s">
        <v>1462</v>
      </c>
      <c r="G1442">
        <v>10.009399999999999</v>
      </c>
      <c r="H1442" t="str">
        <f t="shared" si="23"/>
        <v>ok</v>
      </c>
    </row>
    <row r="1443" spans="1:8" x14ac:dyDescent="0.3">
      <c r="A1443" s="2">
        <v>46051</v>
      </c>
      <c r="B1443" t="s">
        <v>12</v>
      </c>
      <c r="C1443" t="s">
        <v>16</v>
      </c>
      <c r="D1443" t="s">
        <v>13</v>
      </c>
      <c r="E1443" t="s">
        <v>10</v>
      </c>
      <c r="F1443" t="s">
        <v>1463</v>
      </c>
      <c r="G1443">
        <v>9.9830000000000005</v>
      </c>
      <c r="H1443" t="str">
        <f t="shared" si="23"/>
        <v>ok</v>
      </c>
    </row>
    <row r="1444" spans="1:8" x14ac:dyDescent="0.3">
      <c r="A1444" s="2">
        <v>46051</v>
      </c>
      <c r="B1444" t="s">
        <v>12</v>
      </c>
      <c r="C1444" t="s">
        <v>8</v>
      </c>
      <c r="D1444" t="s">
        <v>17</v>
      </c>
      <c r="E1444" t="s">
        <v>10</v>
      </c>
      <c r="F1444" t="s">
        <v>1464</v>
      </c>
      <c r="G1444">
        <v>10.000400000000001</v>
      </c>
      <c r="H1444" t="str">
        <f t="shared" si="23"/>
        <v>ok</v>
      </c>
    </row>
    <row r="1445" spans="1:8" x14ac:dyDescent="0.3">
      <c r="A1445" s="2">
        <v>46051</v>
      </c>
      <c r="B1445" t="s">
        <v>7</v>
      </c>
      <c r="C1445" t="s">
        <v>8</v>
      </c>
      <c r="D1445" t="s">
        <v>13</v>
      </c>
      <c r="E1445" t="s">
        <v>14</v>
      </c>
      <c r="F1445" t="s">
        <v>1465</v>
      </c>
      <c r="G1445">
        <v>9.9747000000000003</v>
      </c>
      <c r="H1445" t="str">
        <f t="shared" si="23"/>
        <v>ok</v>
      </c>
    </row>
    <row r="1446" spans="1:8" x14ac:dyDescent="0.3">
      <c r="A1446" s="2">
        <v>46051</v>
      </c>
      <c r="B1446" t="s">
        <v>12</v>
      </c>
      <c r="C1446" t="s">
        <v>19</v>
      </c>
      <c r="D1446" t="s">
        <v>34</v>
      </c>
      <c r="E1446" t="s">
        <v>10</v>
      </c>
      <c r="F1446" t="s">
        <v>1466</v>
      </c>
      <c r="G1446">
        <v>10.0305</v>
      </c>
      <c r="H1446" t="str">
        <f t="shared" si="23"/>
        <v>ok</v>
      </c>
    </row>
    <row r="1447" spans="1:8" x14ac:dyDescent="0.3">
      <c r="A1447" s="2">
        <v>46051</v>
      </c>
      <c r="B1447" t="s">
        <v>12</v>
      </c>
      <c r="C1447" t="s">
        <v>19</v>
      </c>
      <c r="D1447" t="s">
        <v>17</v>
      </c>
      <c r="E1447" t="s">
        <v>21</v>
      </c>
      <c r="F1447" t="s">
        <v>1467</v>
      </c>
      <c r="G1447">
        <v>10.0334</v>
      </c>
      <c r="H1447" t="str">
        <f t="shared" si="23"/>
        <v>ok</v>
      </c>
    </row>
    <row r="1448" spans="1:8" x14ac:dyDescent="0.3">
      <c r="A1448" s="2">
        <v>46051</v>
      </c>
      <c r="B1448" t="s">
        <v>12</v>
      </c>
      <c r="C1448" t="s">
        <v>8</v>
      </c>
      <c r="D1448" t="s">
        <v>17</v>
      </c>
      <c r="E1448" t="s">
        <v>36</v>
      </c>
      <c r="F1448" t="s">
        <v>1468</v>
      </c>
      <c r="G1448">
        <v>9.9565000000000001</v>
      </c>
      <c r="H1448" t="str">
        <f t="shared" si="23"/>
        <v>ok</v>
      </c>
    </row>
    <row r="1449" spans="1:8" x14ac:dyDescent="0.3">
      <c r="A1449" s="2">
        <v>46051</v>
      </c>
      <c r="B1449" t="s">
        <v>12</v>
      </c>
      <c r="C1449" t="s">
        <v>8</v>
      </c>
      <c r="D1449" t="s">
        <v>34</v>
      </c>
      <c r="E1449" t="s">
        <v>36</v>
      </c>
      <c r="F1449" t="s">
        <v>1469</v>
      </c>
      <c r="G1449">
        <v>10.0304</v>
      </c>
      <c r="H1449" t="str">
        <f t="shared" si="23"/>
        <v>ok</v>
      </c>
    </row>
    <row r="1450" spans="1:8" x14ac:dyDescent="0.3">
      <c r="A1450" s="2">
        <v>46051</v>
      </c>
      <c r="B1450" t="s">
        <v>12</v>
      </c>
      <c r="C1450" t="s">
        <v>19</v>
      </c>
      <c r="D1450" t="s">
        <v>17</v>
      </c>
      <c r="E1450" t="s">
        <v>14</v>
      </c>
      <c r="F1450" t="s">
        <v>1470</v>
      </c>
      <c r="G1450">
        <v>9.9913000000000007</v>
      </c>
      <c r="H1450" t="str">
        <f t="shared" si="23"/>
        <v>ok</v>
      </c>
    </row>
    <row r="1451" spans="1:8" x14ac:dyDescent="0.3">
      <c r="A1451" s="2">
        <v>46051</v>
      </c>
      <c r="B1451" t="s">
        <v>12</v>
      </c>
      <c r="C1451" t="s">
        <v>8</v>
      </c>
      <c r="D1451" t="s">
        <v>34</v>
      </c>
      <c r="E1451" t="s">
        <v>21</v>
      </c>
      <c r="F1451" t="s">
        <v>1471</v>
      </c>
      <c r="G1451">
        <v>10.0464</v>
      </c>
      <c r="H1451" t="str">
        <f t="shared" si="23"/>
        <v>ok</v>
      </c>
    </row>
    <row r="1452" spans="1:8" x14ac:dyDescent="0.3">
      <c r="A1452" s="2">
        <v>46052</v>
      </c>
      <c r="B1452" t="s">
        <v>23</v>
      </c>
      <c r="C1452" t="s">
        <v>16</v>
      </c>
      <c r="D1452" t="s">
        <v>13</v>
      </c>
      <c r="E1452" t="s">
        <v>28</v>
      </c>
      <c r="F1452" t="s">
        <v>1472</v>
      </c>
      <c r="G1452">
        <v>10.0063</v>
      </c>
      <c r="H1452" t="str">
        <f t="shared" si="23"/>
        <v>ok</v>
      </c>
    </row>
    <row r="1453" spans="1:8" x14ac:dyDescent="0.3">
      <c r="A1453" s="2">
        <v>46052</v>
      </c>
      <c r="B1453" t="s">
        <v>23</v>
      </c>
      <c r="C1453" t="s">
        <v>16</v>
      </c>
      <c r="D1453" t="s">
        <v>9</v>
      </c>
      <c r="E1453" t="s">
        <v>28</v>
      </c>
      <c r="F1453" t="s">
        <v>1473</v>
      </c>
      <c r="G1453">
        <v>10.010899999999999</v>
      </c>
      <c r="H1453" t="str">
        <f t="shared" si="23"/>
        <v>ok</v>
      </c>
    </row>
    <row r="1454" spans="1:8" x14ac:dyDescent="0.3">
      <c r="A1454" s="2">
        <v>46052</v>
      </c>
      <c r="B1454" t="s">
        <v>12</v>
      </c>
      <c r="C1454" t="s">
        <v>19</v>
      </c>
      <c r="D1454" t="s">
        <v>9</v>
      </c>
      <c r="E1454" t="s">
        <v>10</v>
      </c>
      <c r="F1454" t="s">
        <v>1474</v>
      </c>
      <c r="G1454">
        <v>9.9824999999999999</v>
      </c>
      <c r="H1454" t="str">
        <f t="shared" si="23"/>
        <v>ok</v>
      </c>
    </row>
    <row r="1455" spans="1:8" x14ac:dyDescent="0.3">
      <c r="A1455" s="2">
        <v>46052</v>
      </c>
      <c r="B1455" t="s">
        <v>12</v>
      </c>
      <c r="C1455" t="s">
        <v>16</v>
      </c>
      <c r="D1455" t="s">
        <v>34</v>
      </c>
      <c r="E1455" t="s">
        <v>21</v>
      </c>
      <c r="F1455" t="s">
        <v>1475</v>
      </c>
      <c r="G1455">
        <v>10.015000000000001</v>
      </c>
      <c r="H1455" t="str">
        <f t="shared" si="23"/>
        <v>ok</v>
      </c>
    </row>
    <row r="1456" spans="1:8" x14ac:dyDescent="0.3">
      <c r="A1456" s="2">
        <v>46052</v>
      </c>
      <c r="B1456" t="s">
        <v>12</v>
      </c>
      <c r="C1456" t="s">
        <v>19</v>
      </c>
      <c r="D1456" t="s">
        <v>34</v>
      </c>
      <c r="E1456" t="s">
        <v>14</v>
      </c>
      <c r="F1456" t="s">
        <v>1476</v>
      </c>
      <c r="G1456">
        <v>10.025399999999999</v>
      </c>
      <c r="H1456" t="str">
        <f t="shared" si="23"/>
        <v>ok</v>
      </c>
    </row>
    <row r="1457" spans="1:8" x14ac:dyDescent="0.3">
      <c r="A1457" s="2">
        <v>46052</v>
      </c>
      <c r="B1457" t="s">
        <v>23</v>
      </c>
      <c r="C1457" t="s">
        <v>8</v>
      </c>
      <c r="D1457" t="s">
        <v>34</v>
      </c>
      <c r="E1457" t="s">
        <v>10</v>
      </c>
      <c r="F1457" t="s">
        <v>1477</v>
      </c>
      <c r="G1457">
        <v>9.9792000000000005</v>
      </c>
      <c r="H1457" t="str">
        <f t="shared" si="23"/>
        <v>ok</v>
      </c>
    </row>
    <row r="1458" spans="1:8" x14ac:dyDescent="0.3">
      <c r="A1458" s="2">
        <v>46052</v>
      </c>
      <c r="B1458" t="s">
        <v>7</v>
      </c>
      <c r="C1458" t="s">
        <v>8</v>
      </c>
      <c r="D1458" t="s">
        <v>17</v>
      </c>
      <c r="E1458" t="s">
        <v>21</v>
      </c>
      <c r="F1458" t="s">
        <v>1478</v>
      </c>
      <c r="G1458">
        <v>10.0311</v>
      </c>
      <c r="H1458" t="str">
        <f t="shared" si="23"/>
        <v>ok</v>
      </c>
    </row>
    <row r="1459" spans="1:8" x14ac:dyDescent="0.3">
      <c r="A1459" s="2">
        <v>46052</v>
      </c>
      <c r="B1459" t="s">
        <v>12</v>
      </c>
      <c r="C1459" t="s">
        <v>8</v>
      </c>
      <c r="D1459" t="s">
        <v>13</v>
      </c>
      <c r="E1459" t="s">
        <v>36</v>
      </c>
      <c r="F1459" t="s">
        <v>1479</v>
      </c>
      <c r="G1459">
        <v>9.9816000000000003</v>
      </c>
      <c r="H1459" t="str">
        <f t="shared" si="23"/>
        <v>ok</v>
      </c>
    </row>
    <row r="1460" spans="1:8" x14ac:dyDescent="0.3">
      <c r="A1460" s="2">
        <v>46052</v>
      </c>
      <c r="B1460" t="s">
        <v>7</v>
      </c>
      <c r="C1460" t="s">
        <v>8</v>
      </c>
      <c r="D1460" t="s">
        <v>9</v>
      </c>
      <c r="E1460" t="s">
        <v>28</v>
      </c>
      <c r="F1460" t="s">
        <v>1480</v>
      </c>
      <c r="G1460">
        <v>9.9801000000000002</v>
      </c>
      <c r="H1460" t="str">
        <f t="shared" si="23"/>
        <v>ok</v>
      </c>
    </row>
    <row r="1461" spans="1:8" x14ac:dyDescent="0.3">
      <c r="A1461" s="2">
        <v>46052</v>
      </c>
      <c r="B1461" t="s">
        <v>23</v>
      </c>
      <c r="C1461" t="s">
        <v>16</v>
      </c>
      <c r="D1461" t="s">
        <v>9</v>
      </c>
      <c r="E1461" t="s">
        <v>28</v>
      </c>
      <c r="F1461" t="s">
        <v>1481</v>
      </c>
      <c r="G1461">
        <v>10.0021</v>
      </c>
      <c r="H1461" t="str">
        <f t="shared" si="23"/>
        <v>ok</v>
      </c>
    </row>
    <row r="1462" spans="1:8" x14ac:dyDescent="0.3">
      <c r="A1462" s="2">
        <v>46052</v>
      </c>
      <c r="B1462" t="s">
        <v>7</v>
      </c>
      <c r="C1462" t="s">
        <v>16</v>
      </c>
      <c r="D1462" t="s">
        <v>13</v>
      </c>
      <c r="E1462" t="s">
        <v>21</v>
      </c>
      <c r="F1462" t="s">
        <v>1482</v>
      </c>
      <c r="G1462">
        <v>9.99</v>
      </c>
      <c r="H1462" t="str">
        <f t="shared" si="23"/>
        <v>ok</v>
      </c>
    </row>
    <row r="1463" spans="1:8" x14ac:dyDescent="0.3">
      <c r="A1463" s="2">
        <v>46052</v>
      </c>
      <c r="B1463" t="s">
        <v>23</v>
      </c>
      <c r="C1463" t="s">
        <v>16</v>
      </c>
      <c r="D1463" t="s">
        <v>13</v>
      </c>
      <c r="E1463" t="s">
        <v>36</v>
      </c>
      <c r="F1463" t="s">
        <v>1483</v>
      </c>
      <c r="G1463">
        <v>10.009399999999999</v>
      </c>
      <c r="H1463" t="str">
        <f t="shared" si="23"/>
        <v>ok</v>
      </c>
    </row>
    <row r="1464" spans="1:8" x14ac:dyDescent="0.3">
      <c r="A1464" s="2">
        <v>46052</v>
      </c>
      <c r="B1464" t="s">
        <v>7</v>
      </c>
      <c r="C1464" t="s">
        <v>16</v>
      </c>
      <c r="D1464" t="s">
        <v>34</v>
      </c>
      <c r="E1464" t="s">
        <v>21</v>
      </c>
      <c r="F1464" t="s">
        <v>1484</v>
      </c>
      <c r="G1464">
        <v>10.002599999999999</v>
      </c>
      <c r="H1464" t="str">
        <f t="shared" si="23"/>
        <v>ok</v>
      </c>
    </row>
    <row r="1465" spans="1:8" x14ac:dyDescent="0.3">
      <c r="A1465" s="2">
        <v>46052</v>
      </c>
      <c r="B1465" t="s">
        <v>7</v>
      </c>
      <c r="C1465" t="s">
        <v>16</v>
      </c>
      <c r="D1465" t="s">
        <v>34</v>
      </c>
      <c r="E1465" t="s">
        <v>28</v>
      </c>
      <c r="F1465" t="s">
        <v>1485</v>
      </c>
      <c r="G1465">
        <v>10.0198</v>
      </c>
      <c r="H1465" t="str">
        <f t="shared" si="23"/>
        <v>ok</v>
      </c>
    </row>
    <row r="1466" spans="1:8" x14ac:dyDescent="0.3">
      <c r="A1466" s="2">
        <v>46052</v>
      </c>
      <c r="B1466" t="s">
        <v>7</v>
      </c>
      <c r="C1466" t="s">
        <v>16</v>
      </c>
      <c r="D1466" t="s">
        <v>34</v>
      </c>
      <c r="E1466" t="s">
        <v>36</v>
      </c>
      <c r="F1466" t="s">
        <v>1486</v>
      </c>
      <c r="G1466">
        <v>9.9818999999999996</v>
      </c>
      <c r="H1466" t="str">
        <f t="shared" si="23"/>
        <v>ok</v>
      </c>
    </row>
    <row r="1467" spans="1:8" x14ac:dyDescent="0.3">
      <c r="A1467" s="2">
        <v>46052</v>
      </c>
      <c r="B1467" t="s">
        <v>7</v>
      </c>
      <c r="C1467" t="s">
        <v>16</v>
      </c>
      <c r="D1467" t="s">
        <v>34</v>
      </c>
      <c r="E1467" t="s">
        <v>21</v>
      </c>
      <c r="F1467" t="s">
        <v>1487</v>
      </c>
      <c r="G1467">
        <v>10.007400000000001</v>
      </c>
      <c r="H1467" t="str">
        <f t="shared" si="23"/>
        <v>ok</v>
      </c>
    </row>
    <row r="1468" spans="1:8" x14ac:dyDescent="0.3">
      <c r="A1468" s="2">
        <v>46052</v>
      </c>
      <c r="B1468" t="s">
        <v>12</v>
      </c>
      <c r="C1468" t="s">
        <v>19</v>
      </c>
      <c r="D1468" t="s">
        <v>13</v>
      </c>
      <c r="E1468" t="s">
        <v>28</v>
      </c>
      <c r="F1468" t="s">
        <v>1488</v>
      </c>
      <c r="G1468">
        <v>10.021599999999999</v>
      </c>
      <c r="H1468" t="str">
        <f t="shared" si="23"/>
        <v>ok</v>
      </c>
    </row>
    <row r="1469" spans="1:8" x14ac:dyDescent="0.3">
      <c r="A1469" s="2">
        <v>46052</v>
      </c>
      <c r="B1469" t="s">
        <v>7</v>
      </c>
      <c r="C1469" t="s">
        <v>8</v>
      </c>
      <c r="D1469" t="s">
        <v>13</v>
      </c>
      <c r="E1469" t="s">
        <v>10</v>
      </c>
      <c r="F1469" t="s">
        <v>1489</v>
      </c>
      <c r="G1469">
        <v>9.9951000000000008</v>
      </c>
      <c r="H1469" t="str">
        <f t="shared" si="23"/>
        <v>ok</v>
      </c>
    </row>
    <row r="1470" spans="1:8" x14ac:dyDescent="0.3">
      <c r="A1470" s="2">
        <v>46052</v>
      </c>
      <c r="B1470" t="s">
        <v>23</v>
      </c>
      <c r="C1470" t="s">
        <v>8</v>
      </c>
      <c r="D1470" t="s">
        <v>17</v>
      </c>
      <c r="E1470" t="s">
        <v>21</v>
      </c>
      <c r="F1470" t="s">
        <v>1490</v>
      </c>
      <c r="G1470">
        <v>10.0029</v>
      </c>
      <c r="H1470" t="str">
        <f t="shared" si="23"/>
        <v>ok</v>
      </c>
    </row>
    <row r="1471" spans="1:8" x14ac:dyDescent="0.3">
      <c r="A1471" s="2">
        <v>46052</v>
      </c>
      <c r="B1471" t="s">
        <v>23</v>
      </c>
      <c r="C1471" t="s">
        <v>8</v>
      </c>
      <c r="D1471" t="s">
        <v>9</v>
      </c>
      <c r="E1471" t="s">
        <v>10</v>
      </c>
      <c r="F1471" t="s">
        <v>1491</v>
      </c>
      <c r="G1471">
        <v>9.9876000000000005</v>
      </c>
      <c r="H1471" t="str">
        <f t="shared" si="23"/>
        <v>ok</v>
      </c>
    </row>
    <row r="1472" spans="1:8" x14ac:dyDescent="0.3">
      <c r="A1472" s="2">
        <v>46052</v>
      </c>
      <c r="B1472" t="s">
        <v>12</v>
      </c>
      <c r="C1472" t="s">
        <v>8</v>
      </c>
      <c r="D1472" t="s">
        <v>34</v>
      </c>
      <c r="E1472" t="s">
        <v>36</v>
      </c>
      <c r="F1472" t="s">
        <v>1492</v>
      </c>
      <c r="G1472">
        <v>10.0075</v>
      </c>
      <c r="H1472" t="str">
        <f t="shared" si="23"/>
        <v>ok</v>
      </c>
    </row>
    <row r="1473" spans="1:8" x14ac:dyDescent="0.3">
      <c r="A1473" s="2">
        <v>46052</v>
      </c>
      <c r="B1473" t="s">
        <v>12</v>
      </c>
      <c r="C1473" t="s">
        <v>8</v>
      </c>
      <c r="D1473" t="s">
        <v>34</v>
      </c>
      <c r="E1473" t="s">
        <v>21</v>
      </c>
      <c r="F1473" t="s">
        <v>1493</v>
      </c>
      <c r="G1473">
        <v>10.0082</v>
      </c>
      <c r="H1473" t="str">
        <f t="shared" si="23"/>
        <v>ok</v>
      </c>
    </row>
    <row r="1474" spans="1:8" x14ac:dyDescent="0.3">
      <c r="A1474" s="2">
        <v>46052</v>
      </c>
      <c r="B1474" t="s">
        <v>7</v>
      </c>
      <c r="C1474" t="s">
        <v>8</v>
      </c>
      <c r="D1474" t="s">
        <v>9</v>
      </c>
      <c r="E1474" t="s">
        <v>10</v>
      </c>
      <c r="F1474" t="s">
        <v>1494</v>
      </c>
      <c r="G1474">
        <v>9.9812999999999992</v>
      </c>
      <c r="H1474" t="str">
        <f t="shared" si="23"/>
        <v>ok</v>
      </c>
    </row>
    <row r="1475" spans="1:8" x14ac:dyDescent="0.3">
      <c r="A1475" s="2">
        <v>46052</v>
      </c>
      <c r="B1475" t="s">
        <v>12</v>
      </c>
      <c r="C1475" t="s">
        <v>16</v>
      </c>
      <c r="D1475" t="s">
        <v>34</v>
      </c>
      <c r="E1475" t="s">
        <v>21</v>
      </c>
      <c r="F1475" t="s">
        <v>1495</v>
      </c>
      <c r="G1475">
        <v>10.014900000000001</v>
      </c>
      <c r="H1475" t="str">
        <f t="shared" si="23"/>
        <v>ok</v>
      </c>
    </row>
    <row r="1476" spans="1:8" x14ac:dyDescent="0.3">
      <c r="A1476" s="2">
        <v>46052</v>
      </c>
      <c r="B1476" t="s">
        <v>7</v>
      </c>
      <c r="C1476" t="s">
        <v>16</v>
      </c>
      <c r="D1476" t="s">
        <v>13</v>
      </c>
      <c r="E1476" t="s">
        <v>10</v>
      </c>
      <c r="F1476" t="s">
        <v>1496</v>
      </c>
      <c r="G1476">
        <v>10.005599999999999</v>
      </c>
      <c r="H1476" t="str">
        <f t="shared" si="23"/>
        <v>ok</v>
      </c>
    </row>
    <row r="1477" spans="1:8" x14ac:dyDescent="0.3">
      <c r="A1477" s="2">
        <v>46052</v>
      </c>
      <c r="B1477" t="s">
        <v>7</v>
      </c>
      <c r="C1477" t="s">
        <v>16</v>
      </c>
      <c r="D1477" t="s">
        <v>9</v>
      </c>
      <c r="E1477" t="s">
        <v>21</v>
      </c>
      <c r="F1477" t="s">
        <v>1497</v>
      </c>
      <c r="G1477">
        <v>10.006399999999999</v>
      </c>
      <c r="H1477" t="str">
        <f t="shared" si="23"/>
        <v>ok</v>
      </c>
    </row>
    <row r="1478" spans="1:8" x14ac:dyDescent="0.3">
      <c r="A1478" s="2">
        <v>46052</v>
      </c>
      <c r="B1478" t="s">
        <v>7</v>
      </c>
      <c r="C1478" t="s">
        <v>8</v>
      </c>
      <c r="D1478" t="s">
        <v>17</v>
      </c>
      <c r="E1478" t="s">
        <v>36</v>
      </c>
      <c r="F1478" t="s">
        <v>1498</v>
      </c>
      <c r="G1478">
        <v>10.015499999999999</v>
      </c>
      <c r="H1478" t="str">
        <f t="shared" ref="H1478:H1501" si="24">IF(OR(G1478&gt;10.5,G1478&lt;9.95),"Defect","ok")</f>
        <v>ok</v>
      </c>
    </row>
    <row r="1479" spans="1:8" x14ac:dyDescent="0.3">
      <c r="A1479" s="2">
        <v>46052</v>
      </c>
      <c r="B1479" t="s">
        <v>23</v>
      </c>
      <c r="C1479" t="s">
        <v>16</v>
      </c>
      <c r="D1479" t="s">
        <v>17</v>
      </c>
      <c r="E1479" t="s">
        <v>14</v>
      </c>
      <c r="F1479" t="s">
        <v>1499</v>
      </c>
      <c r="G1479">
        <v>9.9920000000000009</v>
      </c>
      <c r="H1479" t="str">
        <f t="shared" si="24"/>
        <v>ok</v>
      </c>
    </row>
    <row r="1480" spans="1:8" x14ac:dyDescent="0.3">
      <c r="A1480" s="2">
        <v>46052</v>
      </c>
      <c r="B1480" t="s">
        <v>7</v>
      </c>
      <c r="C1480" t="s">
        <v>8</v>
      </c>
      <c r="D1480" t="s">
        <v>13</v>
      </c>
      <c r="E1480" t="s">
        <v>28</v>
      </c>
      <c r="F1480" t="s">
        <v>1500</v>
      </c>
      <c r="G1480">
        <v>9.9986999999999995</v>
      </c>
      <c r="H1480" t="str">
        <f t="shared" si="24"/>
        <v>ok</v>
      </c>
    </row>
    <row r="1481" spans="1:8" x14ac:dyDescent="0.3">
      <c r="A1481" s="2">
        <v>46052</v>
      </c>
      <c r="B1481" t="s">
        <v>23</v>
      </c>
      <c r="C1481" t="s">
        <v>8</v>
      </c>
      <c r="D1481" t="s">
        <v>13</v>
      </c>
      <c r="E1481" t="s">
        <v>14</v>
      </c>
      <c r="F1481" t="s">
        <v>1501</v>
      </c>
      <c r="G1481">
        <v>10.025399999999999</v>
      </c>
      <c r="H1481" t="str">
        <f t="shared" si="24"/>
        <v>ok</v>
      </c>
    </row>
    <row r="1482" spans="1:8" x14ac:dyDescent="0.3">
      <c r="A1482" s="2">
        <v>46052</v>
      </c>
      <c r="B1482" t="s">
        <v>23</v>
      </c>
      <c r="C1482" t="s">
        <v>19</v>
      </c>
      <c r="D1482" t="s">
        <v>17</v>
      </c>
      <c r="E1482" t="s">
        <v>10</v>
      </c>
      <c r="F1482" t="s">
        <v>1502</v>
      </c>
      <c r="G1482">
        <v>9.9968000000000004</v>
      </c>
      <c r="H1482" t="str">
        <f t="shared" si="24"/>
        <v>ok</v>
      </c>
    </row>
    <row r="1483" spans="1:8" x14ac:dyDescent="0.3">
      <c r="A1483" s="2">
        <v>46052</v>
      </c>
      <c r="B1483" t="s">
        <v>12</v>
      </c>
      <c r="C1483" t="s">
        <v>19</v>
      </c>
      <c r="D1483" t="s">
        <v>13</v>
      </c>
      <c r="E1483" t="s">
        <v>10</v>
      </c>
      <c r="F1483" t="s">
        <v>1503</v>
      </c>
      <c r="G1483">
        <v>10.0128</v>
      </c>
      <c r="H1483" t="str">
        <f t="shared" si="24"/>
        <v>ok</v>
      </c>
    </row>
    <row r="1484" spans="1:8" x14ac:dyDescent="0.3">
      <c r="A1484" s="2">
        <v>46052</v>
      </c>
      <c r="B1484" t="s">
        <v>23</v>
      </c>
      <c r="C1484" t="s">
        <v>8</v>
      </c>
      <c r="D1484" t="s">
        <v>13</v>
      </c>
      <c r="E1484" t="s">
        <v>14</v>
      </c>
      <c r="F1484" t="s">
        <v>1504</v>
      </c>
      <c r="G1484">
        <v>10.02</v>
      </c>
      <c r="H1484" t="str">
        <f t="shared" si="24"/>
        <v>ok</v>
      </c>
    </row>
    <row r="1485" spans="1:8" x14ac:dyDescent="0.3">
      <c r="A1485" s="2">
        <v>46052</v>
      </c>
      <c r="B1485" t="s">
        <v>23</v>
      </c>
      <c r="C1485" t="s">
        <v>19</v>
      </c>
      <c r="D1485" t="s">
        <v>9</v>
      </c>
      <c r="E1485" t="s">
        <v>21</v>
      </c>
      <c r="F1485" t="s">
        <v>1505</v>
      </c>
      <c r="G1485">
        <v>9.9879999999999995</v>
      </c>
      <c r="H1485" t="str">
        <f t="shared" si="24"/>
        <v>ok</v>
      </c>
    </row>
    <row r="1486" spans="1:8" x14ac:dyDescent="0.3">
      <c r="A1486" s="2">
        <v>46052</v>
      </c>
      <c r="B1486" t="s">
        <v>23</v>
      </c>
      <c r="C1486" t="s">
        <v>8</v>
      </c>
      <c r="D1486" t="s">
        <v>9</v>
      </c>
      <c r="E1486" t="s">
        <v>21</v>
      </c>
      <c r="F1486" t="s">
        <v>1506</v>
      </c>
      <c r="G1486">
        <v>9.9803999999999995</v>
      </c>
      <c r="H1486" t="str">
        <f t="shared" si="24"/>
        <v>ok</v>
      </c>
    </row>
    <row r="1487" spans="1:8" x14ac:dyDescent="0.3">
      <c r="A1487" s="2">
        <v>46052</v>
      </c>
      <c r="B1487" t="s">
        <v>23</v>
      </c>
      <c r="C1487" t="s">
        <v>16</v>
      </c>
      <c r="D1487" t="s">
        <v>13</v>
      </c>
      <c r="E1487" t="s">
        <v>10</v>
      </c>
      <c r="F1487" t="s">
        <v>1507</v>
      </c>
      <c r="G1487">
        <v>10.0139</v>
      </c>
      <c r="H1487" t="str">
        <f t="shared" si="24"/>
        <v>ok</v>
      </c>
    </row>
    <row r="1488" spans="1:8" x14ac:dyDescent="0.3">
      <c r="A1488" s="2">
        <v>46052</v>
      </c>
      <c r="B1488" t="s">
        <v>7</v>
      </c>
      <c r="C1488" t="s">
        <v>8</v>
      </c>
      <c r="D1488" t="s">
        <v>13</v>
      </c>
      <c r="E1488" t="s">
        <v>36</v>
      </c>
      <c r="F1488" t="s">
        <v>1508</v>
      </c>
      <c r="G1488">
        <v>10.0402</v>
      </c>
      <c r="H1488" t="str">
        <f t="shared" si="24"/>
        <v>ok</v>
      </c>
    </row>
    <row r="1489" spans="1:8" x14ac:dyDescent="0.3">
      <c r="A1489" s="2">
        <v>46052</v>
      </c>
      <c r="B1489" t="s">
        <v>23</v>
      </c>
      <c r="C1489" t="s">
        <v>16</v>
      </c>
      <c r="D1489" t="s">
        <v>34</v>
      </c>
      <c r="E1489" t="s">
        <v>21</v>
      </c>
      <c r="F1489" t="s">
        <v>1509</v>
      </c>
      <c r="G1489">
        <v>9.9723000000000006</v>
      </c>
      <c r="H1489" t="str">
        <f t="shared" si="24"/>
        <v>ok</v>
      </c>
    </row>
    <row r="1490" spans="1:8" x14ac:dyDescent="0.3">
      <c r="A1490" s="2">
        <v>46052</v>
      </c>
      <c r="B1490" t="s">
        <v>7</v>
      </c>
      <c r="C1490" t="s">
        <v>8</v>
      </c>
      <c r="D1490" t="s">
        <v>13</v>
      </c>
      <c r="E1490" t="s">
        <v>28</v>
      </c>
      <c r="F1490" t="s">
        <v>1510</v>
      </c>
      <c r="G1490">
        <v>10.020899999999999</v>
      </c>
      <c r="H1490" t="str">
        <f t="shared" si="24"/>
        <v>ok</v>
      </c>
    </row>
    <row r="1491" spans="1:8" x14ac:dyDescent="0.3">
      <c r="A1491" s="2">
        <v>46052</v>
      </c>
      <c r="B1491" t="s">
        <v>12</v>
      </c>
      <c r="C1491" t="s">
        <v>16</v>
      </c>
      <c r="D1491" t="s">
        <v>9</v>
      </c>
      <c r="E1491" t="s">
        <v>28</v>
      </c>
      <c r="F1491" t="s">
        <v>1511</v>
      </c>
      <c r="G1491">
        <v>9.9972999999999992</v>
      </c>
      <c r="H1491" t="str">
        <f t="shared" si="24"/>
        <v>ok</v>
      </c>
    </row>
    <row r="1492" spans="1:8" x14ac:dyDescent="0.3">
      <c r="A1492" s="2">
        <v>46052</v>
      </c>
      <c r="B1492" t="s">
        <v>12</v>
      </c>
      <c r="C1492" t="s">
        <v>16</v>
      </c>
      <c r="D1492" t="s">
        <v>13</v>
      </c>
      <c r="E1492" t="s">
        <v>36</v>
      </c>
      <c r="F1492" t="s">
        <v>1512</v>
      </c>
      <c r="G1492">
        <v>10.002800000000001</v>
      </c>
      <c r="H1492" t="str">
        <f t="shared" si="24"/>
        <v>ok</v>
      </c>
    </row>
    <row r="1493" spans="1:8" x14ac:dyDescent="0.3">
      <c r="A1493" s="2">
        <v>46052</v>
      </c>
      <c r="B1493" t="s">
        <v>23</v>
      </c>
      <c r="C1493" t="s">
        <v>8</v>
      </c>
      <c r="D1493" t="s">
        <v>13</v>
      </c>
      <c r="E1493" t="s">
        <v>28</v>
      </c>
      <c r="F1493" t="s">
        <v>1513</v>
      </c>
      <c r="G1493">
        <v>9.9528999999999996</v>
      </c>
      <c r="H1493" t="str">
        <f t="shared" si="24"/>
        <v>ok</v>
      </c>
    </row>
    <row r="1494" spans="1:8" x14ac:dyDescent="0.3">
      <c r="A1494" s="2">
        <v>46052</v>
      </c>
      <c r="B1494" t="s">
        <v>7</v>
      </c>
      <c r="C1494" t="s">
        <v>19</v>
      </c>
      <c r="D1494" t="s">
        <v>34</v>
      </c>
      <c r="E1494" t="s">
        <v>28</v>
      </c>
      <c r="F1494" t="s">
        <v>1514</v>
      </c>
      <c r="G1494">
        <v>9.9718999999999998</v>
      </c>
      <c r="H1494" t="str">
        <f t="shared" si="24"/>
        <v>ok</v>
      </c>
    </row>
    <row r="1495" spans="1:8" x14ac:dyDescent="0.3">
      <c r="A1495" s="2">
        <v>46052</v>
      </c>
      <c r="B1495" t="s">
        <v>12</v>
      </c>
      <c r="C1495" t="s">
        <v>8</v>
      </c>
      <c r="D1495" t="s">
        <v>9</v>
      </c>
      <c r="E1495" t="s">
        <v>36</v>
      </c>
      <c r="F1495" t="s">
        <v>1515</v>
      </c>
      <c r="G1495">
        <v>10.005800000000001</v>
      </c>
      <c r="H1495" t="str">
        <f t="shared" si="24"/>
        <v>ok</v>
      </c>
    </row>
    <row r="1496" spans="1:8" x14ac:dyDescent="0.3">
      <c r="A1496" s="2">
        <v>46052</v>
      </c>
      <c r="B1496" t="s">
        <v>12</v>
      </c>
      <c r="C1496" t="s">
        <v>16</v>
      </c>
      <c r="D1496" t="s">
        <v>34</v>
      </c>
      <c r="E1496" t="s">
        <v>28</v>
      </c>
      <c r="F1496" t="s">
        <v>1516</v>
      </c>
      <c r="G1496">
        <v>10.0448</v>
      </c>
      <c r="H1496" t="str">
        <f t="shared" si="24"/>
        <v>ok</v>
      </c>
    </row>
    <row r="1497" spans="1:8" x14ac:dyDescent="0.3">
      <c r="A1497" s="2">
        <v>46052</v>
      </c>
      <c r="B1497" t="s">
        <v>7</v>
      </c>
      <c r="C1497" t="s">
        <v>8</v>
      </c>
      <c r="D1497" t="s">
        <v>17</v>
      </c>
      <c r="E1497" t="s">
        <v>36</v>
      </c>
      <c r="F1497" t="s">
        <v>1517</v>
      </c>
      <c r="G1497">
        <v>9.9987999999999992</v>
      </c>
      <c r="H1497" t="str">
        <f t="shared" si="24"/>
        <v>ok</v>
      </c>
    </row>
    <row r="1498" spans="1:8" x14ac:dyDescent="0.3">
      <c r="A1498" s="2">
        <v>46052</v>
      </c>
      <c r="B1498" t="s">
        <v>7</v>
      </c>
      <c r="C1498" t="s">
        <v>8</v>
      </c>
      <c r="D1498" t="s">
        <v>13</v>
      </c>
      <c r="E1498" t="s">
        <v>10</v>
      </c>
      <c r="F1498" t="s">
        <v>1518</v>
      </c>
      <c r="G1498">
        <v>9.9707000000000008</v>
      </c>
      <c r="H1498" t="str">
        <f t="shared" si="24"/>
        <v>ok</v>
      </c>
    </row>
    <row r="1499" spans="1:8" x14ac:dyDescent="0.3">
      <c r="A1499" s="2">
        <v>46052</v>
      </c>
      <c r="B1499" t="s">
        <v>23</v>
      </c>
      <c r="C1499" t="s">
        <v>16</v>
      </c>
      <c r="D1499" t="s">
        <v>13</v>
      </c>
      <c r="E1499" t="s">
        <v>21</v>
      </c>
      <c r="F1499" t="s">
        <v>1519</v>
      </c>
      <c r="G1499">
        <v>9.9618000000000002</v>
      </c>
      <c r="H1499" t="str">
        <f t="shared" si="24"/>
        <v>ok</v>
      </c>
    </row>
    <row r="1500" spans="1:8" x14ac:dyDescent="0.3">
      <c r="A1500" s="2">
        <v>46052</v>
      </c>
      <c r="B1500" t="s">
        <v>12</v>
      </c>
      <c r="C1500" t="s">
        <v>16</v>
      </c>
      <c r="D1500" t="s">
        <v>13</v>
      </c>
      <c r="E1500" t="s">
        <v>10</v>
      </c>
      <c r="F1500" t="s">
        <v>1520</v>
      </c>
      <c r="G1500">
        <v>10.008100000000001</v>
      </c>
      <c r="H1500" t="str">
        <f t="shared" si="24"/>
        <v>ok</v>
      </c>
    </row>
    <row r="1501" spans="1:8" x14ac:dyDescent="0.3">
      <c r="A1501" s="2">
        <v>46052</v>
      </c>
      <c r="B1501" t="s">
        <v>23</v>
      </c>
      <c r="C1501" t="s">
        <v>19</v>
      </c>
      <c r="D1501" t="s">
        <v>13</v>
      </c>
      <c r="E1501" t="s">
        <v>14</v>
      </c>
      <c r="F1501" t="s">
        <v>1521</v>
      </c>
      <c r="G1501">
        <v>10.008100000000001</v>
      </c>
      <c r="H1501" t="str">
        <f t="shared" si="24"/>
        <v>ok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1"/>
  <sheetViews>
    <sheetView workbookViewId="0"/>
  </sheetViews>
  <sheetFormatPr defaultRowHeight="14.4" x14ac:dyDescent="0.3"/>
  <cols>
    <col min="2" max="2" width="10.33203125" bestFit="1" customWidth="1"/>
    <col min="4" max="4" width="13.6640625" bestFit="1" customWidth="1"/>
    <col min="7" max="7" width="15.88671875" bestFit="1" customWidth="1"/>
    <col min="8" max="8" width="17.33203125" bestFit="1" customWidth="1"/>
  </cols>
  <sheetData>
    <row r="1" spans="1:8" x14ac:dyDescent="0.3">
      <c r="A1" s="1" t="s">
        <v>1522</v>
      </c>
      <c r="B1" s="1" t="s">
        <v>0</v>
      </c>
      <c r="C1" s="1" t="s">
        <v>1</v>
      </c>
      <c r="D1" s="1" t="s">
        <v>1523</v>
      </c>
      <c r="E1" s="1" t="s">
        <v>1524</v>
      </c>
      <c r="F1" s="1" t="s">
        <v>1525</v>
      </c>
      <c r="G1" s="1" t="s">
        <v>1526</v>
      </c>
      <c r="H1" s="1" t="s">
        <v>1527</v>
      </c>
    </row>
    <row r="2" spans="1:8" x14ac:dyDescent="0.3">
      <c r="A2" t="s">
        <v>1528</v>
      </c>
      <c r="B2" s="2">
        <v>46049</v>
      </c>
      <c r="C2" t="s">
        <v>12</v>
      </c>
      <c r="D2" t="s">
        <v>1529</v>
      </c>
      <c r="E2" t="s">
        <v>1530</v>
      </c>
      <c r="F2" t="s">
        <v>1531</v>
      </c>
      <c r="G2" t="s">
        <v>1532</v>
      </c>
      <c r="H2" t="s">
        <v>1533</v>
      </c>
    </row>
    <row r="3" spans="1:8" x14ac:dyDescent="0.3">
      <c r="A3" t="s">
        <v>1534</v>
      </c>
      <c r="B3" s="2">
        <v>46025</v>
      </c>
      <c r="C3" t="s">
        <v>12</v>
      </c>
      <c r="D3" t="s">
        <v>1529</v>
      </c>
      <c r="E3" t="s">
        <v>1535</v>
      </c>
      <c r="F3" t="s">
        <v>1536</v>
      </c>
      <c r="G3" t="s">
        <v>1532</v>
      </c>
      <c r="H3" t="s">
        <v>1537</v>
      </c>
    </row>
    <row r="4" spans="1:8" x14ac:dyDescent="0.3">
      <c r="A4" t="s">
        <v>1538</v>
      </c>
      <c r="B4" s="2">
        <v>46050</v>
      </c>
      <c r="C4" t="s">
        <v>7</v>
      </c>
      <c r="D4" t="s">
        <v>1539</v>
      </c>
      <c r="E4" t="s">
        <v>1540</v>
      </c>
      <c r="F4" t="s">
        <v>1536</v>
      </c>
      <c r="G4" t="s">
        <v>1532</v>
      </c>
      <c r="H4" t="s">
        <v>1537</v>
      </c>
    </row>
    <row r="5" spans="1:8" x14ac:dyDescent="0.3">
      <c r="A5" t="s">
        <v>1541</v>
      </c>
      <c r="B5" s="2">
        <v>46038</v>
      </c>
      <c r="C5" t="s">
        <v>12</v>
      </c>
      <c r="D5" t="s">
        <v>1542</v>
      </c>
      <c r="E5" t="s">
        <v>1535</v>
      </c>
      <c r="F5" t="s">
        <v>1543</v>
      </c>
      <c r="G5" t="s">
        <v>1532</v>
      </c>
      <c r="H5" t="s">
        <v>1544</v>
      </c>
    </row>
    <row r="6" spans="1:8" x14ac:dyDescent="0.3">
      <c r="A6" t="s">
        <v>1545</v>
      </c>
      <c r="B6" s="2">
        <v>46028</v>
      </c>
      <c r="C6" t="s">
        <v>7</v>
      </c>
      <c r="D6" t="s">
        <v>1542</v>
      </c>
      <c r="E6" t="s">
        <v>1530</v>
      </c>
      <c r="F6" t="s">
        <v>1536</v>
      </c>
      <c r="G6" t="s">
        <v>1546</v>
      </c>
      <c r="H6" t="s">
        <v>1544</v>
      </c>
    </row>
    <row r="7" spans="1:8" x14ac:dyDescent="0.3">
      <c r="A7" t="s">
        <v>1547</v>
      </c>
      <c r="B7" s="2">
        <v>46031</v>
      </c>
      <c r="C7" t="s">
        <v>23</v>
      </c>
      <c r="D7" t="s">
        <v>1529</v>
      </c>
      <c r="E7" t="s">
        <v>1530</v>
      </c>
      <c r="F7" t="s">
        <v>1543</v>
      </c>
      <c r="G7" t="s">
        <v>1548</v>
      </c>
      <c r="H7" t="s">
        <v>1549</v>
      </c>
    </row>
    <row r="8" spans="1:8" x14ac:dyDescent="0.3">
      <c r="A8" t="s">
        <v>1550</v>
      </c>
      <c r="B8" s="2">
        <v>46027</v>
      </c>
      <c r="C8" t="s">
        <v>7</v>
      </c>
      <c r="D8" t="s">
        <v>1542</v>
      </c>
      <c r="E8" t="s">
        <v>1530</v>
      </c>
      <c r="F8" t="s">
        <v>1536</v>
      </c>
      <c r="G8" t="s">
        <v>1532</v>
      </c>
      <c r="H8" t="s">
        <v>1533</v>
      </c>
    </row>
    <row r="9" spans="1:8" x14ac:dyDescent="0.3">
      <c r="A9" t="s">
        <v>1551</v>
      </c>
      <c r="B9" s="2">
        <v>46038</v>
      </c>
      <c r="C9" t="s">
        <v>23</v>
      </c>
      <c r="D9" t="s">
        <v>1542</v>
      </c>
      <c r="E9" t="s">
        <v>1530</v>
      </c>
      <c r="F9" t="s">
        <v>1531</v>
      </c>
      <c r="G9" t="s">
        <v>1532</v>
      </c>
      <c r="H9" t="s">
        <v>1537</v>
      </c>
    </row>
    <row r="10" spans="1:8" x14ac:dyDescent="0.3">
      <c r="A10" t="s">
        <v>1552</v>
      </c>
      <c r="B10" s="2">
        <v>46051</v>
      </c>
      <c r="C10" t="s">
        <v>23</v>
      </c>
      <c r="D10" t="s">
        <v>1529</v>
      </c>
      <c r="E10" t="s">
        <v>1530</v>
      </c>
      <c r="F10" t="s">
        <v>1531</v>
      </c>
      <c r="G10" t="s">
        <v>1548</v>
      </c>
      <c r="H10" t="s">
        <v>1549</v>
      </c>
    </row>
    <row r="11" spans="1:8" x14ac:dyDescent="0.3">
      <c r="A11" t="s">
        <v>1553</v>
      </c>
      <c r="B11" s="2">
        <v>46025</v>
      </c>
      <c r="C11" t="s">
        <v>23</v>
      </c>
      <c r="D11" t="s">
        <v>1542</v>
      </c>
      <c r="E11" t="s">
        <v>1540</v>
      </c>
      <c r="F11" t="s">
        <v>1543</v>
      </c>
      <c r="G11" t="s">
        <v>1532</v>
      </c>
      <c r="H11" t="s">
        <v>1544</v>
      </c>
    </row>
    <row r="12" spans="1:8" x14ac:dyDescent="0.3">
      <c r="A12" t="s">
        <v>1554</v>
      </c>
      <c r="B12" s="2">
        <v>46028</v>
      </c>
      <c r="C12" t="s">
        <v>12</v>
      </c>
      <c r="D12" t="s">
        <v>1539</v>
      </c>
      <c r="E12" t="s">
        <v>1530</v>
      </c>
      <c r="F12" t="s">
        <v>1531</v>
      </c>
      <c r="G12" t="s">
        <v>1546</v>
      </c>
      <c r="H12" t="s">
        <v>1533</v>
      </c>
    </row>
    <row r="13" spans="1:8" x14ac:dyDescent="0.3">
      <c r="A13" t="s">
        <v>1555</v>
      </c>
      <c r="B13" s="2">
        <v>46038</v>
      </c>
      <c r="C13" t="s">
        <v>7</v>
      </c>
      <c r="D13" t="s">
        <v>1542</v>
      </c>
      <c r="E13" t="s">
        <v>1540</v>
      </c>
      <c r="F13" t="s">
        <v>1531</v>
      </c>
      <c r="G13" t="s">
        <v>1548</v>
      </c>
      <c r="H13" t="s">
        <v>1544</v>
      </c>
    </row>
    <row r="14" spans="1:8" x14ac:dyDescent="0.3">
      <c r="A14" t="s">
        <v>1556</v>
      </c>
      <c r="B14" s="2">
        <v>46044</v>
      </c>
      <c r="C14" t="s">
        <v>23</v>
      </c>
      <c r="D14" t="s">
        <v>1557</v>
      </c>
      <c r="E14" t="s">
        <v>1530</v>
      </c>
      <c r="F14" t="s">
        <v>1543</v>
      </c>
      <c r="G14" t="s">
        <v>1548</v>
      </c>
      <c r="H14" t="s">
        <v>1537</v>
      </c>
    </row>
    <row r="15" spans="1:8" x14ac:dyDescent="0.3">
      <c r="A15" t="s">
        <v>1558</v>
      </c>
      <c r="B15" s="2">
        <v>46050</v>
      </c>
      <c r="C15" t="s">
        <v>7</v>
      </c>
      <c r="D15" t="s">
        <v>1542</v>
      </c>
      <c r="E15" t="s">
        <v>1530</v>
      </c>
      <c r="F15" t="s">
        <v>1531</v>
      </c>
      <c r="G15" t="s">
        <v>1532</v>
      </c>
      <c r="H15" t="s">
        <v>1544</v>
      </c>
    </row>
    <row r="16" spans="1:8" x14ac:dyDescent="0.3">
      <c r="A16" t="s">
        <v>1559</v>
      </c>
      <c r="B16" s="2">
        <v>46032</v>
      </c>
      <c r="C16" t="s">
        <v>7</v>
      </c>
      <c r="D16" t="s">
        <v>1539</v>
      </c>
      <c r="E16" t="s">
        <v>1540</v>
      </c>
      <c r="F16" t="s">
        <v>1543</v>
      </c>
      <c r="G16" t="s">
        <v>1548</v>
      </c>
      <c r="H16" t="s">
        <v>1544</v>
      </c>
    </row>
    <row r="17" spans="1:8" x14ac:dyDescent="0.3">
      <c r="A17" t="s">
        <v>1560</v>
      </c>
      <c r="B17" s="2">
        <v>46027</v>
      </c>
      <c r="C17" t="s">
        <v>23</v>
      </c>
      <c r="D17" t="s">
        <v>1529</v>
      </c>
      <c r="E17" t="s">
        <v>1530</v>
      </c>
      <c r="F17" t="s">
        <v>1536</v>
      </c>
      <c r="G17" t="s">
        <v>1532</v>
      </c>
      <c r="H17" t="s">
        <v>1537</v>
      </c>
    </row>
    <row r="18" spans="1:8" x14ac:dyDescent="0.3">
      <c r="A18" t="s">
        <v>1561</v>
      </c>
      <c r="B18" s="2">
        <v>46038</v>
      </c>
      <c r="C18" t="s">
        <v>7</v>
      </c>
      <c r="D18" t="s">
        <v>1539</v>
      </c>
      <c r="E18" t="s">
        <v>1540</v>
      </c>
      <c r="F18" t="s">
        <v>1543</v>
      </c>
      <c r="G18" t="s">
        <v>1562</v>
      </c>
      <c r="H18" t="s">
        <v>1533</v>
      </c>
    </row>
    <row r="19" spans="1:8" x14ac:dyDescent="0.3">
      <c r="A19" t="s">
        <v>1563</v>
      </c>
      <c r="B19" s="2">
        <v>46034</v>
      </c>
      <c r="C19" t="s">
        <v>23</v>
      </c>
      <c r="D19" t="s">
        <v>1529</v>
      </c>
      <c r="E19" t="s">
        <v>1530</v>
      </c>
      <c r="F19" t="s">
        <v>1543</v>
      </c>
      <c r="G19" t="s">
        <v>1562</v>
      </c>
      <c r="H19" t="s">
        <v>1549</v>
      </c>
    </row>
    <row r="20" spans="1:8" x14ac:dyDescent="0.3">
      <c r="A20" t="s">
        <v>1564</v>
      </c>
      <c r="B20" s="2">
        <v>46037</v>
      </c>
      <c r="C20" t="s">
        <v>12</v>
      </c>
      <c r="D20" t="s">
        <v>1557</v>
      </c>
      <c r="E20" t="s">
        <v>1535</v>
      </c>
      <c r="F20" t="s">
        <v>1543</v>
      </c>
      <c r="G20" t="s">
        <v>1546</v>
      </c>
      <c r="H20" t="s">
        <v>1533</v>
      </c>
    </row>
    <row r="21" spans="1:8" x14ac:dyDescent="0.3">
      <c r="A21" t="s">
        <v>1565</v>
      </c>
      <c r="B21" s="2">
        <v>46032</v>
      </c>
      <c r="C21" t="s">
        <v>12</v>
      </c>
      <c r="D21" t="s">
        <v>1529</v>
      </c>
      <c r="E21" t="s">
        <v>1530</v>
      </c>
      <c r="F21" t="s">
        <v>1543</v>
      </c>
      <c r="G21" t="s">
        <v>1532</v>
      </c>
      <c r="H21" t="s">
        <v>1537</v>
      </c>
    </row>
    <row r="22" spans="1:8" x14ac:dyDescent="0.3">
      <c r="A22" t="s">
        <v>1566</v>
      </c>
      <c r="B22" s="2">
        <v>46028</v>
      </c>
      <c r="C22" t="s">
        <v>23</v>
      </c>
      <c r="D22" t="s">
        <v>1529</v>
      </c>
      <c r="E22" t="s">
        <v>1535</v>
      </c>
      <c r="F22" t="s">
        <v>1543</v>
      </c>
      <c r="G22" t="s">
        <v>1546</v>
      </c>
      <c r="H22" t="s">
        <v>1533</v>
      </c>
    </row>
    <row r="23" spans="1:8" x14ac:dyDescent="0.3">
      <c r="A23" t="s">
        <v>1567</v>
      </c>
      <c r="B23" s="2">
        <v>46041</v>
      </c>
      <c r="C23" t="s">
        <v>12</v>
      </c>
      <c r="D23" t="s">
        <v>1542</v>
      </c>
      <c r="E23" t="s">
        <v>1535</v>
      </c>
      <c r="F23" t="s">
        <v>1531</v>
      </c>
      <c r="G23" t="s">
        <v>1548</v>
      </c>
      <c r="H23" t="s">
        <v>1549</v>
      </c>
    </row>
    <row r="24" spans="1:8" x14ac:dyDescent="0.3">
      <c r="A24" t="s">
        <v>1568</v>
      </c>
      <c r="B24" s="2">
        <v>46049</v>
      </c>
      <c r="C24" t="s">
        <v>12</v>
      </c>
      <c r="D24" t="s">
        <v>1542</v>
      </c>
      <c r="E24" t="s">
        <v>1540</v>
      </c>
      <c r="F24" t="s">
        <v>1543</v>
      </c>
      <c r="G24" t="s">
        <v>1548</v>
      </c>
      <c r="H24" t="s">
        <v>1549</v>
      </c>
    </row>
    <row r="25" spans="1:8" x14ac:dyDescent="0.3">
      <c r="A25" t="s">
        <v>1569</v>
      </c>
      <c r="B25" s="2">
        <v>46042</v>
      </c>
      <c r="C25" t="s">
        <v>7</v>
      </c>
      <c r="D25" t="s">
        <v>1539</v>
      </c>
      <c r="E25" t="s">
        <v>1535</v>
      </c>
      <c r="F25" t="s">
        <v>1543</v>
      </c>
      <c r="G25" t="s">
        <v>1548</v>
      </c>
      <c r="H25" t="s">
        <v>1549</v>
      </c>
    </row>
    <row r="26" spans="1:8" x14ac:dyDescent="0.3">
      <c r="A26" t="s">
        <v>1570</v>
      </c>
      <c r="B26" s="2">
        <v>46050</v>
      </c>
      <c r="C26" t="s">
        <v>12</v>
      </c>
      <c r="D26" t="s">
        <v>1542</v>
      </c>
      <c r="E26" t="s">
        <v>1540</v>
      </c>
      <c r="F26" t="s">
        <v>1531</v>
      </c>
      <c r="G26" t="s">
        <v>1532</v>
      </c>
      <c r="H26" t="s">
        <v>1533</v>
      </c>
    </row>
    <row r="27" spans="1:8" x14ac:dyDescent="0.3">
      <c r="A27" t="s">
        <v>1571</v>
      </c>
      <c r="B27" s="2">
        <v>46048</v>
      </c>
      <c r="C27" t="s">
        <v>12</v>
      </c>
      <c r="D27" t="s">
        <v>1539</v>
      </c>
      <c r="E27" t="s">
        <v>1530</v>
      </c>
      <c r="F27" t="s">
        <v>1543</v>
      </c>
      <c r="G27" t="s">
        <v>1546</v>
      </c>
      <c r="H27" t="s">
        <v>1549</v>
      </c>
    </row>
    <row r="28" spans="1:8" x14ac:dyDescent="0.3">
      <c r="A28" t="s">
        <v>1572</v>
      </c>
      <c r="B28" s="2">
        <v>46050</v>
      </c>
      <c r="C28" t="s">
        <v>7</v>
      </c>
      <c r="D28" t="s">
        <v>1542</v>
      </c>
      <c r="E28" t="s">
        <v>1540</v>
      </c>
      <c r="F28" t="s">
        <v>1531</v>
      </c>
      <c r="G28" t="s">
        <v>1546</v>
      </c>
      <c r="H28" t="s">
        <v>1537</v>
      </c>
    </row>
    <row r="29" spans="1:8" x14ac:dyDescent="0.3">
      <c r="A29" t="s">
        <v>1573</v>
      </c>
      <c r="B29" s="2">
        <v>46031</v>
      </c>
      <c r="C29" t="s">
        <v>7</v>
      </c>
      <c r="D29" t="s">
        <v>1539</v>
      </c>
      <c r="E29" t="s">
        <v>1530</v>
      </c>
      <c r="F29" t="s">
        <v>1531</v>
      </c>
      <c r="G29" t="s">
        <v>1546</v>
      </c>
      <c r="H29" t="s">
        <v>1544</v>
      </c>
    </row>
    <row r="30" spans="1:8" x14ac:dyDescent="0.3">
      <c r="A30" t="s">
        <v>1574</v>
      </c>
      <c r="B30" s="2">
        <v>46023</v>
      </c>
      <c r="C30" t="s">
        <v>7</v>
      </c>
      <c r="D30" t="s">
        <v>1539</v>
      </c>
      <c r="E30" t="s">
        <v>1540</v>
      </c>
      <c r="F30" t="s">
        <v>1531</v>
      </c>
      <c r="G30" t="s">
        <v>1562</v>
      </c>
      <c r="H30" t="s">
        <v>1549</v>
      </c>
    </row>
    <row r="31" spans="1:8" x14ac:dyDescent="0.3">
      <c r="A31" t="s">
        <v>1575</v>
      </c>
      <c r="B31" s="2">
        <v>46032</v>
      </c>
      <c r="C31" t="s">
        <v>12</v>
      </c>
      <c r="D31" t="s">
        <v>1557</v>
      </c>
      <c r="E31" t="s">
        <v>1530</v>
      </c>
      <c r="F31" t="s">
        <v>1536</v>
      </c>
      <c r="G31" t="s">
        <v>1546</v>
      </c>
      <c r="H31" t="s">
        <v>1549</v>
      </c>
    </row>
    <row r="32" spans="1:8" x14ac:dyDescent="0.3">
      <c r="A32" t="s">
        <v>1576</v>
      </c>
      <c r="B32" s="2">
        <v>46024</v>
      </c>
      <c r="C32" t="s">
        <v>12</v>
      </c>
      <c r="D32" t="s">
        <v>1542</v>
      </c>
      <c r="E32" t="s">
        <v>1530</v>
      </c>
      <c r="F32" t="s">
        <v>1536</v>
      </c>
      <c r="G32" t="s">
        <v>1532</v>
      </c>
      <c r="H32" t="s">
        <v>1544</v>
      </c>
    </row>
    <row r="33" spans="1:8" x14ac:dyDescent="0.3">
      <c r="A33" t="s">
        <v>1577</v>
      </c>
      <c r="B33" s="2">
        <v>46050</v>
      </c>
      <c r="C33" t="s">
        <v>7</v>
      </c>
      <c r="D33" t="s">
        <v>1542</v>
      </c>
      <c r="E33" t="s">
        <v>1535</v>
      </c>
      <c r="F33" t="s">
        <v>1531</v>
      </c>
      <c r="G33" t="s">
        <v>1562</v>
      </c>
      <c r="H33" t="s">
        <v>1544</v>
      </c>
    </row>
    <row r="34" spans="1:8" x14ac:dyDescent="0.3">
      <c r="A34" t="s">
        <v>1578</v>
      </c>
      <c r="B34" s="2">
        <v>46044</v>
      </c>
      <c r="C34" t="s">
        <v>12</v>
      </c>
      <c r="D34" t="s">
        <v>1539</v>
      </c>
      <c r="E34" t="s">
        <v>1530</v>
      </c>
      <c r="F34" t="s">
        <v>1543</v>
      </c>
      <c r="G34" t="s">
        <v>1548</v>
      </c>
      <c r="H34" t="s">
        <v>1544</v>
      </c>
    </row>
    <row r="35" spans="1:8" x14ac:dyDescent="0.3">
      <c r="A35" t="s">
        <v>1579</v>
      </c>
      <c r="B35" s="2">
        <v>46031</v>
      </c>
      <c r="C35" t="s">
        <v>7</v>
      </c>
      <c r="D35" t="s">
        <v>1539</v>
      </c>
      <c r="E35" t="s">
        <v>1540</v>
      </c>
      <c r="F35" t="s">
        <v>1536</v>
      </c>
      <c r="G35" t="s">
        <v>1562</v>
      </c>
      <c r="H35" t="s">
        <v>1544</v>
      </c>
    </row>
    <row r="36" spans="1:8" x14ac:dyDescent="0.3">
      <c r="A36" t="s">
        <v>1580</v>
      </c>
      <c r="B36" s="2">
        <v>46023</v>
      </c>
      <c r="C36" t="s">
        <v>7</v>
      </c>
      <c r="D36" t="s">
        <v>1529</v>
      </c>
      <c r="E36" t="s">
        <v>1540</v>
      </c>
      <c r="F36" t="s">
        <v>1536</v>
      </c>
      <c r="G36" t="s">
        <v>1562</v>
      </c>
      <c r="H36" t="s">
        <v>1537</v>
      </c>
    </row>
    <row r="37" spans="1:8" x14ac:dyDescent="0.3">
      <c r="A37" t="s">
        <v>1581</v>
      </c>
      <c r="B37" s="2">
        <v>46035</v>
      </c>
      <c r="C37" t="s">
        <v>23</v>
      </c>
      <c r="D37" t="s">
        <v>1557</v>
      </c>
      <c r="E37" t="s">
        <v>1540</v>
      </c>
      <c r="F37" t="s">
        <v>1543</v>
      </c>
      <c r="G37" t="s">
        <v>1546</v>
      </c>
      <c r="H37" t="s">
        <v>1549</v>
      </c>
    </row>
    <row r="38" spans="1:8" x14ac:dyDescent="0.3">
      <c r="A38" t="s">
        <v>1582</v>
      </c>
      <c r="B38" s="2">
        <v>46029</v>
      </c>
      <c r="C38" t="s">
        <v>23</v>
      </c>
      <c r="D38" t="s">
        <v>1542</v>
      </c>
      <c r="E38" t="s">
        <v>1535</v>
      </c>
      <c r="F38" t="s">
        <v>1531</v>
      </c>
      <c r="G38" t="s">
        <v>1562</v>
      </c>
      <c r="H38" t="s">
        <v>1544</v>
      </c>
    </row>
    <row r="39" spans="1:8" x14ac:dyDescent="0.3">
      <c r="A39" t="s">
        <v>1583</v>
      </c>
      <c r="B39" s="2">
        <v>46026</v>
      </c>
      <c r="C39" t="s">
        <v>23</v>
      </c>
      <c r="D39" t="s">
        <v>1529</v>
      </c>
      <c r="E39" t="s">
        <v>1530</v>
      </c>
      <c r="F39" t="s">
        <v>1531</v>
      </c>
      <c r="G39" t="s">
        <v>1562</v>
      </c>
      <c r="H39" t="s">
        <v>1544</v>
      </c>
    </row>
    <row r="40" spans="1:8" x14ac:dyDescent="0.3">
      <c r="A40" t="s">
        <v>1584</v>
      </c>
      <c r="B40" s="2">
        <v>46046</v>
      </c>
      <c r="C40" t="s">
        <v>7</v>
      </c>
      <c r="D40" t="s">
        <v>1542</v>
      </c>
      <c r="E40" t="s">
        <v>1540</v>
      </c>
      <c r="F40" t="s">
        <v>1536</v>
      </c>
      <c r="G40" t="s">
        <v>1548</v>
      </c>
      <c r="H40" t="s">
        <v>1537</v>
      </c>
    </row>
    <row r="41" spans="1:8" x14ac:dyDescent="0.3">
      <c r="A41" t="s">
        <v>1585</v>
      </c>
      <c r="B41" s="2">
        <v>46033</v>
      </c>
      <c r="C41" t="s">
        <v>7</v>
      </c>
      <c r="D41" t="s">
        <v>1529</v>
      </c>
      <c r="E41" t="s">
        <v>1535</v>
      </c>
      <c r="F41" t="s">
        <v>1536</v>
      </c>
      <c r="G41" t="s">
        <v>1562</v>
      </c>
      <c r="H41" t="s">
        <v>1533</v>
      </c>
    </row>
    <row r="42" spans="1:8" x14ac:dyDescent="0.3">
      <c r="A42" t="s">
        <v>1586</v>
      </c>
      <c r="B42" s="2">
        <v>46026</v>
      </c>
      <c r="C42" t="s">
        <v>23</v>
      </c>
      <c r="D42" t="s">
        <v>1529</v>
      </c>
      <c r="E42" t="s">
        <v>1540</v>
      </c>
      <c r="F42" t="s">
        <v>1543</v>
      </c>
      <c r="G42" t="s">
        <v>1548</v>
      </c>
      <c r="H42" t="s">
        <v>1549</v>
      </c>
    </row>
    <row r="43" spans="1:8" x14ac:dyDescent="0.3">
      <c r="A43" t="s">
        <v>1587</v>
      </c>
      <c r="B43" s="2">
        <v>46034</v>
      </c>
      <c r="C43" t="s">
        <v>7</v>
      </c>
      <c r="D43" t="s">
        <v>1529</v>
      </c>
      <c r="E43" t="s">
        <v>1540</v>
      </c>
      <c r="F43" t="s">
        <v>1543</v>
      </c>
      <c r="G43" t="s">
        <v>1548</v>
      </c>
      <c r="H43" t="s">
        <v>1533</v>
      </c>
    </row>
    <row r="44" spans="1:8" x14ac:dyDescent="0.3">
      <c r="A44" t="s">
        <v>1588</v>
      </c>
      <c r="B44" s="2">
        <v>46036</v>
      </c>
      <c r="C44" t="s">
        <v>12</v>
      </c>
      <c r="D44" t="s">
        <v>1557</v>
      </c>
      <c r="E44" t="s">
        <v>1535</v>
      </c>
      <c r="F44" t="s">
        <v>1531</v>
      </c>
      <c r="G44" t="s">
        <v>1546</v>
      </c>
      <c r="H44" t="s">
        <v>1549</v>
      </c>
    </row>
    <row r="45" spans="1:8" x14ac:dyDescent="0.3">
      <c r="A45" t="s">
        <v>1589</v>
      </c>
      <c r="B45" s="2">
        <v>46040</v>
      </c>
      <c r="C45" t="s">
        <v>7</v>
      </c>
      <c r="D45" t="s">
        <v>1539</v>
      </c>
      <c r="E45" t="s">
        <v>1535</v>
      </c>
      <c r="F45" t="s">
        <v>1536</v>
      </c>
      <c r="G45" t="s">
        <v>1546</v>
      </c>
      <c r="H45" t="s">
        <v>1533</v>
      </c>
    </row>
    <row r="46" spans="1:8" x14ac:dyDescent="0.3">
      <c r="A46" t="s">
        <v>1590</v>
      </c>
      <c r="B46" s="2">
        <v>46024</v>
      </c>
      <c r="C46" t="s">
        <v>23</v>
      </c>
      <c r="D46" t="s">
        <v>1557</v>
      </c>
      <c r="E46" t="s">
        <v>1535</v>
      </c>
      <c r="F46" t="s">
        <v>1536</v>
      </c>
      <c r="G46" t="s">
        <v>1546</v>
      </c>
      <c r="H46" t="s">
        <v>1537</v>
      </c>
    </row>
    <row r="47" spans="1:8" x14ac:dyDescent="0.3">
      <c r="A47" t="s">
        <v>1591</v>
      </c>
      <c r="B47" s="2">
        <v>46032</v>
      </c>
      <c r="C47" t="s">
        <v>23</v>
      </c>
      <c r="D47" t="s">
        <v>1542</v>
      </c>
      <c r="E47" t="s">
        <v>1540</v>
      </c>
      <c r="F47" t="s">
        <v>1536</v>
      </c>
      <c r="G47" t="s">
        <v>1548</v>
      </c>
      <c r="H47" t="s">
        <v>1549</v>
      </c>
    </row>
    <row r="48" spans="1:8" x14ac:dyDescent="0.3">
      <c r="A48" t="s">
        <v>1592</v>
      </c>
      <c r="B48" s="2">
        <v>46031</v>
      </c>
      <c r="C48" t="s">
        <v>12</v>
      </c>
      <c r="D48" t="s">
        <v>1542</v>
      </c>
      <c r="E48" t="s">
        <v>1540</v>
      </c>
      <c r="F48" t="s">
        <v>1543</v>
      </c>
      <c r="G48" t="s">
        <v>1546</v>
      </c>
      <c r="H48" t="s">
        <v>1537</v>
      </c>
    </row>
    <row r="49" spans="1:8" x14ac:dyDescent="0.3">
      <c r="A49" t="s">
        <v>1593</v>
      </c>
      <c r="B49" s="2">
        <v>46023</v>
      </c>
      <c r="C49" t="s">
        <v>12</v>
      </c>
      <c r="D49" t="s">
        <v>1539</v>
      </c>
      <c r="E49" t="s">
        <v>1535</v>
      </c>
      <c r="F49" t="s">
        <v>1543</v>
      </c>
      <c r="G49" t="s">
        <v>1562</v>
      </c>
      <c r="H49" t="s">
        <v>1544</v>
      </c>
    </row>
    <row r="50" spans="1:8" x14ac:dyDescent="0.3">
      <c r="A50" t="s">
        <v>1594</v>
      </c>
      <c r="B50" s="2">
        <v>46051</v>
      </c>
      <c r="C50" t="s">
        <v>23</v>
      </c>
      <c r="D50" t="s">
        <v>1557</v>
      </c>
      <c r="E50" t="s">
        <v>1540</v>
      </c>
      <c r="F50" t="s">
        <v>1536</v>
      </c>
      <c r="G50" t="s">
        <v>1562</v>
      </c>
      <c r="H50" t="s">
        <v>1549</v>
      </c>
    </row>
    <row r="51" spans="1:8" x14ac:dyDescent="0.3">
      <c r="A51" t="s">
        <v>1595</v>
      </c>
      <c r="B51" s="2">
        <v>46035</v>
      </c>
      <c r="C51" t="s">
        <v>12</v>
      </c>
      <c r="D51" t="s">
        <v>1542</v>
      </c>
      <c r="E51" t="s">
        <v>1540</v>
      </c>
      <c r="F51" t="s">
        <v>1543</v>
      </c>
      <c r="G51" t="s">
        <v>1562</v>
      </c>
      <c r="H51" t="s">
        <v>1544</v>
      </c>
    </row>
    <row r="52" spans="1:8" x14ac:dyDescent="0.3">
      <c r="A52" t="s">
        <v>1596</v>
      </c>
      <c r="B52" s="2">
        <v>46048</v>
      </c>
      <c r="C52" t="s">
        <v>23</v>
      </c>
      <c r="D52" t="s">
        <v>1539</v>
      </c>
      <c r="E52" t="s">
        <v>1535</v>
      </c>
      <c r="F52" t="s">
        <v>1531</v>
      </c>
      <c r="G52" t="s">
        <v>1546</v>
      </c>
      <c r="H52" t="s">
        <v>1537</v>
      </c>
    </row>
    <row r="53" spans="1:8" x14ac:dyDescent="0.3">
      <c r="A53" t="s">
        <v>1597</v>
      </c>
      <c r="B53" s="2">
        <v>46029</v>
      </c>
      <c r="C53" t="s">
        <v>7</v>
      </c>
      <c r="D53" t="s">
        <v>1529</v>
      </c>
      <c r="E53" t="s">
        <v>1535</v>
      </c>
      <c r="F53" t="s">
        <v>1536</v>
      </c>
      <c r="G53" t="s">
        <v>1546</v>
      </c>
      <c r="H53" t="s">
        <v>1537</v>
      </c>
    </row>
    <row r="54" spans="1:8" x14ac:dyDescent="0.3">
      <c r="A54" t="s">
        <v>1598</v>
      </c>
      <c r="B54" s="2">
        <v>46029</v>
      </c>
      <c r="C54" t="s">
        <v>23</v>
      </c>
      <c r="D54" t="s">
        <v>1542</v>
      </c>
      <c r="E54" t="s">
        <v>1535</v>
      </c>
      <c r="F54" t="s">
        <v>1531</v>
      </c>
      <c r="G54" t="s">
        <v>1532</v>
      </c>
      <c r="H54" t="s">
        <v>1533</v>
      </c>
    </row>
    <row r="55" spans="1:8" x14ac:dyDescent="0.3">
      <c r="A55" t="s">
        <v>1599</v>
      </c>
      <c r="B55" s="2">
        <v>46045</v>
      </c>
      <c r="C55" t="s">
        <v>7</v>
      </c>
      <c r="D55" t="s">
        <v>1542</v>
      </c>
      <c r="E55" t="s">
        <v>1540</v>
      </c>
      <c r="F55" t="s">
        <v>1543</v>
      </c>
      <c r="G55" t="s">
        <v>1532</v>
      </c>
      <c r="H55" t="s">
        <v>1533</v>
      </c>
    </row>
    <row r="56" spans="1:8" x14ac:dyDescent="0.3">
      <c r="A56" t="s">
        <v>1600</v>
      </c>
      <c r="B56" s="2">
        <v>46034</v>
      </c>
      <c r="C56" t="s">
        <v>7</v>
      </c>
      <c r="D56" t="s">
        <v>1557</v>
      </c>
      <c r="E56" t="s">
        <v>1530</v>
      </c>
      <c r="F56" t="s">
        <v>1536</v>
      </c>
      <c r="G56" t="s">
        <v>1546</v>
      </c>
      <c r="H56" t="s">
        <v>1537</v>
      </c>
    </row>
    <row r="57" spans="1:8" x14ac:dyDescent="0.3">
      <c r="A57" t="s">
        <v>1601</v>
      </c>
      <c r="B57" s="2">
        <v>46044</v>
      </c>
      <c r="C57" t="s">
        <v>23</v>
      </c>
      <c r="D57" t="s">
        <v>1557</v>
      </c>
      <c r="E57" t="s">
        <v>1540</v>
      </c>
      <c r="F57" t="s">
        <v>1531</v>
      </c>
      <c r="G57" t="s">
        <v>1548</v>
      </c>
      <c r="H57" t="s">
        <v>1533</v>
      </c>
    </row>
    <row r="58" spans="1:8" x14ac:dyDescent="0.3">
      <c r="A58" t="s">
        <v>1602</v>
      </c>
      <c r="B58" s="2">
        <v>46052</v>
      </c>
      <c r="C58" t="s">
        <v>23</v>
      </c>
      <c r="D58" t="s">
        <v>1542</v>
      </c>
      <c r="E58" t="s">
        <v>1540</v>
      </c>
      <c r="F58" t="s">
        <v>1531</v>
      </c>
      <c r="G58" t="s">
        <v>1548</v>
      </c>
      <c r="H58" t="s">
        <v>1537</v>
      </c>
    </row>
    <row r="59" spans="1:8" x14ac:dyDescent="0.3">
      <c r="A59" t="s">
        <v>1603</v>
      </c>
      <c r="B59" s="2">
        <v>46037</v>
      </c>
      <c r="C59" t="s">
        <v>12</v>
      </c>
      <c r="D59" t="s">
        <v>1542</v>
      </c>
      <c r="E59" t="s">
        <v>1535</v>
      </c>
      <c r="F59" t="s">
        <v>1531</v>
      </c>
      <c r="G59" t="s">
        <v>1546</v>
      </c>
      <c r="H59" t="s">
        <v>1537</v>
      </c>
    </row>
    <row r="60" spans="1:8" x14ac:dyDescent="0.3">
      <c r="A60" t="s">
        <v>1604</v>
      </c>
      <c r="B60" s="2">
        <v>46043</v>
      </c>
      <c r="C60" t="s">
        <v>23</v>
      </c>
      <c r="D60" t="s">
        <v>1529</v>
      </c>
      <c r="E60" t="s">
        <v>1540</v>
      </c>
      <c r="F60" t="s">
        <v>1531</v>
      </c>
      <c r="G60" t="s">
        <v>1546</v>
      </c>
      <c r="H60" t="s">
        <v>1537</v>
      </c>
    </row>
    <row r="61" spans="1:8" x14ac:dyDescent="0.3">
      <c r="A61" t="s">
        <v>1605</v>
      </c>
      <c r="B61" s="2">
        <v>46032</v>
      </c>
      <c r="C61" t="s">
        <v>7</v>
      </c>
      <c r="D61" t="s">
        <v>1539</v>
      </c>
      <c r="E61" t="s">
        <v>1540</v>
      </c>
      <c r="F61" t="s">
        <v>1536</v>
      </c>
      <c r="G61" t="s">
        <v>1532</v>
      </c>
      <c r="H61" t="s">
        <v>1544</v>
      </c>
    </row>
    <row r="62" spans="1:8" x14ac:dyDescent="0.3">
      <c r="A62" t="s">
        <v>1606</v>
      </c>
      <c r="B62" s="2">
        <v>46031</v>
      </c>
      <c r="C62" t="s">
        <v>23</v>
      </c>
      <c r="D62" t="s">
        <v>1557</v>
      </c>
      <c r="E62" t="s">
        <v>1535</v>
      </c>
      <c r="F62" t="s">
        <v>1531</v>
      </c>
      <c r="G62" t="s">
        <v>1532</v>
      </c>
      <c r="H62" t="s">
        <v>1533</v>
      </c>
    </row>
    <row r="63" spans="1:8" x14ac:dyDescent="0.3">
      <c r="A63" t="s">
        <v>1607</v>
      </c>
      <c r="B63" s="2">
        <v>46037</v>
      </c>
      <c r="C63" t="s">
        <v>7</v>
      </c>
      <c r="D63" t="s">
        <v>1529</v>
      </c>
      <c r="E63" t="s">
        <v>1540</v>
      </c>
      <c r="F63" t="s">
        <v>1536</v>
      </c>
      <c r="G63" t="s">
        <v>1532</v>
      </c>
      <c r="H63" t="s">
        <v>1549</v>
      </c>
    </row>
    <row r="64" spans="1:8" x14ac:dyDescent="0.3">
      <c r="A64" t="s">
        <v>1608</v>
      </c>
      <c r="B64" s="2">
        <v>46026</v>
      </c>
      <c r="C64" t="s">
        <v>12</v>
      </c>
      <c r="D64" t="s">
        <v>1557</v>
      </c>
      <c r="E64" t="s">
        <v>1530</v>
      </c>
      <c r="F64" t="s">
        <v>1531</v>
      </c>
      <c r="G64" t="s">
        <v>1562</v>
      </c>
      <c r="H64" t="s">
        <v>1537</v>
      </c>
    </row>
    <row r="65" spans="1:8" x14ac:dyDescent="0.3">
      <c r="A65" t="s">
        <v>1609</v>
      </c>
      <c r="B65" s="2">
        <v>46037</v>
      </c>
      <c r="C65" t="s">
        <v>12</v>
      </c>
      <c r="D65" t="s">
        <v>1542</v>
      </c>
      <c r="E65" t="s">
        <v>1535</v>
      </c>
      <c r="F65" t="s">
        <v>1536</v>
      </c>
      <c r="G65" t="s">
        <v>1546</v>
      </c>
      <c r="H65" t="s">
        <v>1533</v>
      </c>
    </row>
    <row r="66" spans="1:8" x14ac:dyDescent="0.3">
      <c r="A66" t="s">
        <v>1610</v>
      </c>
      <c r="B66" s="2">
        <v>46031</v>
      </c>
      <c r="C66" t="s">
        <v>23</v>
      </c>
      <c r="D66" t="s">
        <v>1529</v>
      </c>
      <c r="E66" t="s">
        <v>1535</v>
      </c>
      <c r="F66" t="s">
        <v>1536</v>
      </c>
      <c r="G66" t="s">
        <v>1562</v>
      </c>
      <c r="H66" t="s">
        <v>1533</v>
      </c>
    </row>
    <row r="67" spans="1:8" x14ac:dyDescent="0.3">
      <c r="A67" t="s">
        <v>1611</v>
      </c>
      <c r="B67" s="2">
        <v>46037</v>
      </c>
      <c r="C67" t="s">
        <v>23</v>
      </c>
      <c r="D67" t="s">
        <v>1542</v>
      </c>
      <c r="E67" t="s">
        <v>1530</v>
      </c>
      <c r="F67" t="s">
        <v>1536</v>
      </c>
      <c r="G67" t="s">
        <v>1548</v>
      </c>
      <c r="H67" t="s">
        <v>1537</v>
      </c>
    </row>
    <row r="68" spans="1:8" x14ac:dyDescent="0.3">
      <c r="A68" t="s">
        <v>1612</v>
      </c>
      <c r="B68" s="2">
        <v>46048</v>
      </c>
      <c r="C68" t="s">
        <v>7</v>
      </c>
      <c r="D68" t="s">
        <v>1529</v>
      </c>
      <c r="E68" t="s">
        <v>1530</v>
      </c>
      <c r="F68" t="s">
        <v>1543</v>
      </c>
      <c r="G68" t="s">
        <v>1562</v>
      </c>
      <c r="H68" t="s">
        <v>1537</v>
      </c>
    </row>
    <row r="69" spans="1:8" x14ac:dyDescent="0.3">
      <c r="A69" t="s">
        <v>1613</v>
      </c>
      <c r="B69" s="2">
        <v>46023</v>
      </c>
      <c r="C69" t="s">
        <v>7</v>
      </c>
      <c r="D69" t="s">
        <v>1557</v>
      </c>
      <c r="E69" t="s">
        <v>1540</v>
      </c>
      <c r="F69" t="s">
        <v>1536</v>
      </c>
      <c r="G69" t="s">
        <v>1532</v>
      </c>
      <c r="H69" t="s">
        <v>1537</v>
      </c>
    </row>
    <row r="70" spans="1:8" x14ac:dyDescent="0.3">
      <c r="A70" t="s">
        <v>1614</v>
      </c>
      <c r="B70" s="2">
        <v>46039</v>
      </c>
      <c r="C70" t="s">
        <v>23</v>
      </c>
      <c r="D70" t="s">
        <v>1542</v>
      </c>
      <c r="E70" t="s">
        <v>1540</v>
      </c>
      <c r="F70" t="s">
        <v>1536</v>
      </c>
      <c r="G70" t="s">
        <v>1546</v>
      </c>
      <c r="H70" t="s">
        <v>1549</v>
      </c>
    </row>
    <row r="71" spans="1:8" x14ac:dyDescent="0.3">
      <c r="A71" t="s">
        <v>1615</v>
      </c>
      <c r="B71" s="2">
        <v>46050</v>
      </c>
      <c r="C71" t="s">
        <v>23</v>
      </c>
      <c r="D71" t="s">
        <v>1557</v>
      </c>
      <c r="E71" t="s">
        <v>1535</v>
      </c>
      <c r="F71" t="s">
        <v>1531</v>
      </c>
      <c r="G71" t="s">
        <v>1548</v>
      </c>
      <c r="H71" t="s">
        <v>1533</v>
      </c>
    </row>
    <row r="72" spans="1:8" x14ac:dyDescent="0.3">
      <c r="A72" t="s">
        <v>1616</v>
      </c>
      <c r="B72" s="2">
        <v>46048</v>
      </c>
      <c r="C72" t="s">
        <v>23</v>
      </c>
      <c r="D72" t="s">
        <v>1542</v>
      </c>
      <c r="E72" t="s">
        <v>1535</v>
      </c>
      <c r="F72" t="s">
        <v>1531</v>
      </c>
      <c r="G72" t="s">
        <v>1562</v>
      </c>
      <c r="H72" t="s">
        <v>1533</v>
      </c>
    </row>
    <row r="73" spans="1:8" x14ac:dyDescent="0.3">
      <c r="A73" t="s">
        <v>1617</v>
      </c>
      <c r="B73" s="2">
        <v>46045</v>
      </c>
      <c r="C73" t="s">
        <v>12</v>
      </c>
      <c r="D73" t="s">
        <v>1557</v>
      </c>
      <c r="E73" t="s">
        <v>1530</v>
      </c>
      <c r="F73" t="s">
        <v>1536</v>
      </c>
      <c r="G73" t="s">
        <v>1532</v>
      </c>
      <c r="H73" t="s">
        <v>1537</v>
      </c>
    </row>
    <row r="74" spans="1:8" x14ac:dyDescent="0.3">
      <c r="A74" t="s">
        <v>1618</v>
      </c>
      <c r="B74" s="2">
        <v>46029</v>
      </c>
      <c r="C74" t="s">
        <v>12</v>
      </c>
      <c r="D74" t="s">
        <v>1529</v>
      </c>
      <c r="E74" t="s">
        <v>1540</v>
      </c>
      <c r="F74" t="s">
        <v>1531</v>
      </c>
      <c r="G74" t="s">
        <v>1562</v>
      </c>
      <c r="H74" t="s">
        <v>1533</v>
      </c>
    </row>
    <row r="75" spans="1:8" x14ac:dyDescent="0.3">
      <c r="A75" t="s">
        <v>1619</v>
      </c>
      <c r="B75" s="2">
        <v>46048</v>
      </c>
      <c r="C75" t="s">
        <v>12</v>
      </c>
      <c r="D75" t="s">
        <v>1529</v>
      </c>
      <c r="E75" t="s">
        <v>1535</v>
      </c>
      <c r="F75" t="s">
        <v>1531</v>
      </c>
      <c r="G75" t="s">
        <v>1532</v>
      </c>
      <c r="H75" t="s">
        <v>1537</v>
      </c>
    </row>
    <row r="76" spans="1:8" x14ac:dyDescent="0.3">
      <c r="A76" t="s">
        <v>1620</v>
      </c>
      <c r="B76" s="2">
        <v>46048</v>
      </c>
      <c r="C76" t="s">
        <v>23</v>
      </c>
      <c r="D76" t="s">
        <v>1557</v>
      </c>
      <c r="E76" t="s">
        <v>1540</v>
      </c>
      <c r="F76" t="s">
        <v>1536</v>
      </c>
      <c r="G76" t="s">
        <v>1548</v>
      </c>
      <c r="H76" t="s">
        <v>1549</v>
      </c>
    </row>
    <row r="77" spans="1:8" x14ac:dyDescent="0.3">
      <c r="A77" t="s">
        <v>1621</v>
      </c>
      <c r="B77" s="2">
        <v>46024</v>
      </c>
      <c r="C77" t="s">
        <v>7</v>
      </c>
      <c r="D77" t="s">
        <v>1529</v>
      </c>
      <c r="E77" t="s">
        <v>1540</v>
      </c>
      <c r="F77" t="s">
        <v>1536</v>
      </c>
      <c r="G77" t="s">
        <v>1548</v>
      </c>
      <c r="H77" t="s">
        <v>1544</v>
      </c>
    </row>
    <row r="78" spans="1:8" x14ac:dyDescent="0.3">
      <c r="A78" t="s">
        <v>1622</v>
      </c>
      <c r="B78" s="2">
        <v>46049</v>
      </c>
      <c r="C78" t="s">
        <v>7</v>
      </c>
      <c r="D78" t="s">
        <v>1539</v>
      </c>
      <c r="E78" t="s">
        <v>1535</v>
      </c>
      <c r="F78" t="s">
        <v>1536</v>
      </c>
      <c r="G78" t="s">
        <v>1548</v>
      </c>
      <c r="H78" t="s">
        <v>1533</v>
      </c>
    </row>
    <row r="79" spans="1:8" x14ac:dyDescent="0.3">
      <c r="A79" t="s">
        <v>1623</v>
      </c>
      <c r="B79" s="2">
        <v>46035</v>
      </c>
      <c r="C79" t="s">
        <v>12</v>
      </c>
      <c r="D79" t="s">
        <v>1539</v>
      </c>
      <c r="E79" t="s">
        <v>1530</v>
      </c>
      <c r="F79" t="s">
        <v>1536</v>
      </c>
      <c r="G79" t="s">
        <v>1546</v>
      </c>
      <c r="H79" t="s">
        <v>1533</v>
      </c>
    </row>
    <row r="80" spans="1:8" x14ac:dyDescent="0.3">
      <c r="A80" t="s">
        <v>1624</v>
      </c>
      <c r="B80" s="2">
        <v>46033</v>
      </c>
      <c r="C80" t="s">
        <v>7</v>
      </c>
      <c r="D80" t="s">
        <v>1542</v>
      </c>
      <c r="E80" t="s">
        <v>1530</v>
      </c>
      <c r="F80" t="s">
        <v>1536</v>
      </c>
      <c r="G80" t="s">
        <v>1532</v>
      </c>
      <c r="H80" t="s">
        <v>1533</v>
      </c>
    </row>
    <row r="81" spans="1:8" x14ac:dyDescent="0.3">
      <c r="A81" t="s">
        <v>1625</v>
      </c>
      <c r="B81" s="2">
        <v>46037</v>
      </c>
      <c r="C81" t="s">
        <v>23</v>
      </c>
      <c r="D81" t="s">
        <v>1557</v>
      </c>
      <c r="E81" t="s">
        <v>1530</v>
      </c>
      <c r="F81" t="s">
        <v>1536</v>
      </c>
      <c r="G81" t="s">
        <v>1532</v>
      </c>
      <c r="H81" t="s">
        <v>1544</v>
      </c>
    </row>
    <row r="82" spans="1:8" x14ac:dyDescent="0.3">
      <c r="A82" t="s">
        <v>1626</v>
      </c>
      <c r="B82" s="2">
        <v>46037</v>
      </c>
      <c r="C82" t="s">
        <v>23</v>
      </c>
      <c r="D82" t="s">
        <v>1539</v>
      </c>
      <c r="E82" t="s">
        <v>1535</v>
      </c>
      <c r="F82" t="s">
        <v>1543</v>
      </c>
      <c r="G82" t="s">
        <v>1546</v>
      </c>
      <c r="H82" t="s">
        <v>1549</v>
      </c>
    </row>
    <row r="83" spans="1:8" x14ac:dyDescent="0.3">
      <c r="A83" t="s">
        <v>1627</v>
      </c>
      <c r="B83" s="2">
        <v>46024</v>
      </c>
      <c r="C83" t="s">
        <v>7</v>
      </c>
      <c r="D83" t="s">
        <v>1557</v>
      </c>
      <c r="E83" t="s">
        <v>1540</v>
      </c>
      <c r="F83" t="s">
        <v>1543</v>
      </c>
      <c r="G83" t="s">
        <v>1548</v>
      </c>
      <c r="H83" t="s">
        <v>1544</v>
      </c>
    </row>
    <row r="84" spans="1:8" x14ac:dyDescent="0.3">
      <c r="A84" t="s">
        <v>1628</v>
      </c>
      <c r="B84" s="2">
        <v>46032</v>
      </c>
      <c r="C84" t="s">
        <v>7</v>
      </c>
      <c r="D84" t="s">
        <v>1557</v>
      </c>
      <c r="E84" t="s">
        <v>1535</v>
      </c>
      <c r="F84" t="s">
        <v>1543</v>
      </c>
      <c r="G84" t="s">
        <v>1548</v>
      </c>
      <c r="H84" t="s">
        <v>1544</v>
      </c>
    </row>
    <row r="85" spans="1:8" x14ac:dyDescent="0.3">
      <c r="A85" t="s">
        <v>1629</v>
      </c>
      <c r="B85" s="2">
        <v>46037</v>
      </c>
      <c r="C85" t="s">
        <v>7</v>
      </c>
      <c r="D85" t="s">
        <v>1539</v>
      </c>
      <c r="E85" t="s">
        <v>1540</v>
      </c>
      <c r="F85" t="s">
        <v>1531</v>
      </c>
      <c r="G85" t="s">
        <v>1548</v>
      </c>
      <c r="H85" t="s">
        <v>1549</v>
      </c>
    </row>
    <row r="86" spans="1:8" x14ac:dyDescent="0.3">
      <c r="A86" t="s">
        <v>1630</v>
      </c>
      <c r="B86" s="2">
        <v>46050</v>
      </c>
      <c r="C86" t="s">
        <v>7</v>
      </c>
      <c r="D86" t="s">
        <v>1539</v>
      </c>
      <c r="E86" t="s">
        <v>1535</v>
      </c>
      <c r="F86" t="s">
        <v>1543</v>
      </c>
      <c r="G86" t="s">
        <v>1546</v>
      </c>
      <c r="H86" t="s">
        <v>1533</v>
      </c>
    </row>
    <row r="87" spans="1:8" x14ac:dyDescent="0.3">
      <c r="A87" t="s">
        <v>1631</v>
      </c>
      <c r="B87" s="2">
        <v>46030</v>
      </c>
      <c r="C87" t="s">
        <v>23</v>
      </c>
      <c r="D87" t="s">
        <v>1542</v>
      </c>
      <c r="E87" t="s">
        <v>1530</v>
      </c>
      <c r="F87" t="s">
        <v>1531</v>
      </c>
      <c r="G87" t="s">
        <v>1548</v>
      </c>
      <c r="H87" t="s">
        <v>1544</v>
      </c>
    </row>
    <row r="88" spans="1:8" x14ac:dyDescent="0.3">
      <c r="A88" t="s">
        <v>1632</v>
      </c>
      <c r="B88" s="2">
        <v>46049</v>
      </c>
      <c r="C88" t="s">
        <v>12</v>
      </c>
      <c r="D88" t="s">
        <v>1542</v>
      </c>
      <c r="E88" t="s">
        <v>1540</v>
      </c>
      <c r="F88" t="s">
        <v>1536</v>
      </c>
      <c r="G88" t="s">
        <v>1548</v>
      </c>
      <c r="H88" t="s">
        <v>1533</v>
      </c>
    </row>
    <row r="89" spans="1:8" x14ac:dyDescent="0.3">
      <c r="A89" t="s">
        <v>1633</v>
      </c>
      <c r="B89" s="2">
        <v>46038</v>
      </c>
      <c r="C89" t="s">
        <v>7</v>
      </c>
      <c r="D89" t="s">
        <v>1539</v>
      </c>
      <c r="E89" t="s">
        <v>1530</v>
      </c>
      <c r="F89" t="s">
        <v>1536</v>
      </c>
      <c r="G89" t="s">
        <v>1532</v>
      </c>
      <c r="H89" t="s">
        <v>1549</v>
      </c>
    </row>
    <row r="90" spans="1:8" x14ac:dyDescent="0.3">
      <c r="A90" t="s">
        <v>1634</v>
      </c>
      <c r="B90" s="2">
        <v>46048</v>
      </c>
      <c r="C90" t="s">
        <v>23</v>
      </c>
      <c r="D90" t="s">
        <v>1529</v>
      </c>
      <c r="E90" t="s">
        <v>1530</v>
      </c>
      <c r="F90" t="s">
        <v>1531</v>
      </c>
      <c r="G90" t="s">
        <v>1546</v>
      </c>
      <c r="H90" t="s">
        <v>1533</v>
      </c>
    </row>
    <row r="91" spans="1:8" x14ac:dyDescent="0.3">
      <c r="A91" t="s">
        <v>1635</v>
      </c>
      <c r="B91" s="2">
        <v>46028</v>
      </c>
      <c r="C91" t="s">
        <v>7</v>
      </c>
      <c r="D91" t="s">
        <v>1539</v>
      </c>
      <c r="E91" t="s">
        <v>1535</v>
      </c>
      <c r="F91" t="s">
        <v>1536</v>
      </c>
      <c r="G91" t="s">
        <v>1532</v>
      </c>
      <c r="H91" t="s">
        <v>1537</v>
      </c>
    </row>
    <row r="92" spans="1:8" x14ac:dyDescent="0.3">
      <c r="A92" t="s">
        <v>1636</v>
      </c>
      <c r="B92" s="2">
        <v>46049</v>
      </c>
      <c r="C92" t="s">
        <v>7</v>
      </c>
      <c r="D92" t="s">
        <v>1557</v>
      </c>
      <c r="E92" t="s">
        <v>1535</v>
      </c>
      <c r="F92" t="s">
        <v>1536</v>
      </c>
      <c r="G92" t="s">
        <v>1546</v>
      </c>
      <c r="H92" t="s">
        <v>1544</v>
      </c>
    </row>
    <row r="93" spans="1:8" x14ac:dyDescent="0.3">
      <c r="A93" t="s">
        <v>1637</v>
      </c>
      <c r="B93" s="2">
        <v>46025</v>
      </c>
      <c r="C93" t="s">
        <v>7</v>
      </c>
      <c r="D93" t="s">
        <v>1557</v>
      </c>
      <c r="E93" t="s">
        <v>1530</v>
      </c>
      <c r="F93" t="s">
        <v>1531</v>
      </c>
      <c r="G93" t="s">
        <v>1532</v>
      </c>
      <c r="H93" t="s">
        <v>1544</v>
      </c>
    </row>
    <row r="94" spans="1:8" x14ac:dyDescent="0.3">
      <c r="A94" t="s">
        <v>1638</v>
      </c>
      <c r="B94" s="2">
        <v>46033</v>
      </c>
      <c r="C94" t="s">
        <v>7</v>
      </c>
      <c r="D94" t="s">
        <v>1539</v>
      </c>
      <c r="E94" t="s">
        <v>1530</v>
      </c>
      <c r="F94" t="s">
        <v>1536</v>
      </c>
      <c r="G94" t="s">
        <v>1548</v>
      </c>
      <c r="H94" t="s">
        <v>1537</v>
      </c>
    </row>
    <row r="95" spans="1:8" x14ac:dyDescent="0.3">
      <c r="A95" t="s">
        <v>1639</v>
      </c>
      <c r="B95" s="2">
        <v>46047</v>
      </c>
      <c r="C95" t="s">
        <v>7</v>
      </c>
      <c r="D95" t="s">
        <v>1529</v>
      </c>
      <c r="E95" t="s">
        <v>1540</v>
      </c>
      <c r="F95" t="s">
        <v>1531</v>
      </c>
      <c r="G95" t="s">
        <v>1548</v>
      </c>
      <c r="H95" t="s">
        <v>1549</v>
      </c>
    </row>
    <row r="96" spans="1:8" x14ac:dyDescent="0.3">
      <c r="A96" t="s">
        <v>1640</v>
      </c>
      <c r="B96" s="2">
        <v>46045</v>
      </c>
      <c r="C96" t="s">
        <v>12</v>
      </c>
      <c r="D96" t="s">
        <v>1557</v>
      </c>
      <c r="E96" t="s">
        <v>1530</v>
      </c>
      <c r="F96" t="s">
        <v>1536</v>
      </c>
      <c r="G96" t="s">
        <v>1546</v>
      </c>
      <c r="H96" t="s">
        <v>1533</v>
      </c>
    </row>
    <row r="97" spans="1:8" x14ac:dyDescent="0.3">
      <c r="A97" t="s">
        <v>1641</v>
      </c>
      <c r="B97" s="2">
        <v>46041</v>
      </c>
      <c r="C97" t="s">
        <v>12</v>
      </c>
      <c r="D97" t="s">
        <v>1539</v>
      </c>
      <c r="E97" t="s">
        <v>1530</v>
      </c>
      <c r="F97" t="s">
        <v>1536</v>
      </c>
      <c r="G97" t="s">
        <v>1548</v>
      </c>
      <c r="H97" t="s">
        <v>1537</v>
      </c>
    </row>
    <row r="98" spans="1:8" x14ac:dyDescent="0.3">
      <c r="A98" t="s">
        <v>1642</v>
      </c>
      <c r="B98" s="2">
        <v>46049</v>
      </c>
      <c r="C98" t="s">
        <v>7</v>
      </c>
      <c r="D98" t="s">
        <v>1557</v>
      </c>
      <c r="E98" t="s">
        <v>1530</v>
      </c>
      <c r="F98" t="s">
        <v>1531</v>
      </c>
      <c r="G98" t="s">
        <v>1548</v>
      </c>
      <c r="H98" t="s">
        <v>1544</v>
      </c>
    </row>
    <row r="99" spans="1:8" x14ac:dyDescent="0.3">
      <c r="A99" t="s">
        <v>1643</v>
      </c>
      <c r="B99" s="2">
        <v>46030</v>
      </c>
      <c r="C99" t="s">
        <v>12</v>
      </c>
      <c r="D99" t="s">
        <v>1557</v>
      </c>
      <c r="E99" t="s">
        <v>1530</v>
      </c>
      <c r="F99" t="s">
        <v>1531</v>
      </c>
      <c r="G99" t="s">
        <v>1562</v>
      </c>
      <c r="H99" t="s">
        <v>1544</v>
      </c>
    </row>
    <row r="100" spans="1:8" x14ac:dyDescent="0.3">
      <c r="A100" t="s">
        <v>1644</v>
      </c>
      <c r="B100" s="2">
        <v>46027</v>
      </c>
      <c r="C100" t="s">
        <v>7</v>
      </c>
      <c r="D100" t="s">
        <v>1529</v>
      </c>
      <c r="E100" t="s">
        <v>1540</v>
      </c>
      <c r="F100" t="s">
        <v>1536</v>
      </c>
      <c r="G100" t="s">
        <v>1562</v>
      </c>
      <c r="H100" t="s">
        <v>1549</v>
      </c>
    </row>
    <row r="101" spans="1:8" x14ac:dyDescent="0.3">
      <c r="A101" t="s">
        <v>1645</v>
      </c>
      <c r="B101" s="2">
        <v>46051</v>
      </c>
      <c r="C101" t="s">
        <v>12</v>
      </c>
      <c r="D101" t="s">
        <v>1529</v>
      </c>
      <c r="E101" t="s">
        <v>1540</v>
      </c>
      <c r="F101" t="s">
        <v>1543</v>
      </c>
      <c r="G101" t="s">
        <v>1548</v>
      </c>
      <c r="H101" t="s">
        <v>1533</v>
      </c>
    </row>
    <row r="102" spans="1:8" x14ac:dyDescent="0.3">
      <c r="A102" t="s">
        <v>1646</v>
      </c>
      <c r="B102" s="2">
        <v>46041</v>
      </c>
      <c r="C102" t="s">
        <v>23</v>
      </c>
      <c r="D102" t="s">
        <v>1529</v>
      </c>
      <c r="E102" t="s">
        <v>1530</v>
      </c>
      <c r="F102" t="s">
        <v>1536</v>
      </c>
      <c r="G102" t="s">
        <v>1562</v>
      </c>
      <c r="H102" t="s">
        <v>1544</v>
      </c>
    </row>
    <row r="103" spans="1:8" x14ac:dyDescent="0.3">
      <c r="A103" t="s">
        <v>1647</v>
      </c>
      <c r="B103" s="2">
        <v>46048</v>
      </c>
      <c r="C103" t="s">
        <v>12</v>
      </c>
      <c r="D103" t="s">
        <v>1542</v>
      </c>
      <c r="E103" t="s">
        <v>1535</v>
      </c>
      <c r="F103" t="s">
        <v>1536</v>
      </c>
      <c r="G103" t="s">
        <v>1548</v>
      </c>
      <c r="H103" t="s">
        <v>1533</v>
      </c>
    </row>
    <row r="104" spans="1:8" x14ac:dyDescent="0.3">
      <c r="A104" t="s">
        <v>1648</v>
      </c>
      <c r="B104" s="2">
        <v>46040</v>
      </c>
      <c r="C104" t="s">
        <v>12</v>
      </c>
      <c r="D104" t="s">
        <v>1542</v>
      </c>
      <c r="E104" t="s">
        <v>1535</v>
      </c>
      <c r="F104" t="s">
        <v>1536</v>
      </c>
      <c r="G104" t="s">
        <v>1562</v>
      </c>
      <c r="H104" t="s">
        <v>1537</v>
      </c>
    </row>
    <row r="105" spans="1:8" x14ac:dyDescent="0.3">
      <c r="A105" t="s">
        <v>1649</v>
      </c>
      <c r="B105" s="2">
        <v>46026</v>
      </c>
      <c r="C105" t="s">
        <v>23</v>
      </c>
      <c r="D105" t="s">
        <v>1542</v>
      </c>
      <c r="E105" t="s">
        <v>1535</v>
      </c>
      <c r="F105" t="s">
        <v>1543</v>
      </c>
      <c r="G105" t="s">
        <v>1546</v>
      </c>
      <c r="H105" t="s">
        <v>1537</v>
      </c>
    </row>
    <row r="106" spans="1:8" x14ac:dyDescent="0.3">
      <c r="A106" t="s">
        <v>1650</v>
      </c>
      <c r="B106" s="2">
        <v>46038</v>
      </c>
      <c r="C106" t="s">
        <v>12</v>
      </c>
      <c r="D106" t="s">
        <v>1529</v>
      </c>
      <c r="E106" t="s">
        <v>1540</v>
      </c>
      <c r="F106" t="s">
        <v>1536</v>
      </c>
      <c r="G106" t="s">
        <v>1562</v>
      </c>
      <c r="H106" t="s">
        <v>1537</v>
      </c>
    </row>
    <row r="107" spans="1:8" x14ac:dyDescent="0.3">
      <c r="A107" t="s">
        <v>1651</v>
      </c>
      <c r="B107" s="2">
        <v>46048</v>
      </c>
      <c r="C107" t="s">
        <v>12</v>
      </c>
      <c r="D107" t="s">
        <v>1542</v>
      </c>
      <c r="E107" t="s">
        <v>1540</v>
      </c>
      <c r="F107" t="s">
        <v>1543</v>
      </c>
      <c r="G107" t="s">
        <v>1548</v>
      </c>
      <c r="H107" t="s">
        <v>1549</v>
      </c>
    </row>
    <row r="108" spans="1:8" x14ac:dyDescent="0.3">
      <c r="A108" t="s">
        <v>1652</v>
      </c>
      <c r="B108" s="2">
        <v>46024</v>
      </c>
      <c r="C108" t="s">
        <v>7</v>
      </c>
      <c r="D108" t="s">
        <v>1529</v>
      </c>
      <c r="E108" t="s">
        <v>1535</v>
      </c>
      <c r="F108" t="s">
        <v>1531</v>
      </c>
      <c r="G108" t="s">
        <v>1546</v>
      </c>
      <c r="H108" t="s">
        <v>1537</v>
      </c>
    </row>
    <row r="109" spans="1:8" x14ac:dyDescent="0.3">
      <c r="A109" t="s">
        <v>1653</v>
      </c>
      <c r="B109" s="2">
        <v>46036</v>
      </c>
      <c r="C109" t="s">
        <v>12</v>
      </c>
      <c r="D109" t="s">
        <v>1557</v>
      </c>
      <c r="E109" t="s">
        <v>1540</v>
      </c>
      <c r="F109" t="s">
        <v>1543</v>
      </c>
      <c r="G109" t="s">
        <v>1562</v>
      </c>
      <c r="H109" t="s">
        <v>1549</v>
      </c>
    </row>
    <row r="110" spans="1:8" x14ac:dyDescent="0.3">
      <c r="A110" t="s">
        <v>1654</v>
      </c>
      <c r="B110" s="2">
        <v>46037</v>
      </c>
      <c r="C110" t="s">
        <v>12</v>
      </c>
      <c r="D110" t="s">
        <v>1557</v>
      </c>
      <c r="E110" t="s">
        <v>1535</v>
      </c>
      <c r="F110" t="s">
        <v>1543</v>
      </c>
      <c r="G110" t="s">
        <v>1532</v>
      </c>
      <c r="H110" t="s">
        <v>1549</v>
      </c>
    </row>
    <row r="111" spans="1:8" x14ac:dyDescent="0.3">
      <c r="A111" t="s">
        <v>1655</v>
      </c>
      <c r="B111" s="2">
        <v>46044</v>
      </c>
      <c r="C111" t="s">
        <v>23</v>
      </c>
      <c r="D111" t="s">
        <v>1539</v>
      </c>
      <c r="E111" t="s">
        <v>1535</v>
      </c>
      <c r="F111" t="s">
        <v>1531</v>
      </c>
      <c r="G111" t="s">
        <v>1548</v>
      </c>
      <c r="H111" t="s">
        <v>1549</v>
      </c>
    </row>
    <row r="112" spans="1:8" x14ac:dyDescent="0.3">
      <c r="A112" t="s">
        <v>1656</v>
      </c>
      <c r="B112" s="2">
        <v>46046</v>
      </c>
      <c r="C112" t="s">
        <v>7</v>
      </c>
      <c r="D112" t="s">
        <v>1542</v>
      </c>
      <c r="E112" t="s">
        <v>1530</v>
      </c>
      <c r="F112" t="s">
        <v>1536</v>
      </c>
      <c r="G112" t="s">
        <v>1532</v>
      </c>
      <c r="H112" t="s">
        <v>1537</v>
      </c>
    </row>
    <row r="113" spans="1:8" x14ac:dyDescent="0.3">
      <c r="A113" t="s">
        <v>1657</v>
      </c>
      <c r="B113" s="2">
        <v>46041</v>
      </c>
      <c r="C113" t="s">
        <v>23</v>
      </c>
      <c r="D113" t="s">
        <v>1542</v>
      </c>
      <c r="E113" t="s">
        <v>1535</v>
      </c>
      <c r="F113" t="s">
        <v>1536</v>
      </c>
      <c r="G113" t="s">
        <v>1532</v>
      </c>
      <c r="H113" t="s">
        <v>1549</v>
      </c>
    </row>
    <row r="114" spans="1:8" x14ac:dyDescent="0.3">
      <c r="A114" t="s">
        <v>1658</v>
      </c>
      <c r="B114" s="2">
        <v>46050</v>
      </c>
      <c r="C114" t="s">
        <v>12</v>
      </c>
      <c r="D114" t="s">
        <v>1557</v>
      </c>
      <c r="E114" t="s">
        <v>1535</v>
      </c>
      <c r="F114" t="s">
        <v>1536</v>
      </c>
      <c r="G114" t="s">
        <v>1532</v>
      </c>
      <c r="H114" t="s">
        <v>1537</v>
      </c>
    </row>
    <row r="115" spans="1:8" x14ac:dyDescent="0.3">
      <c r="A115" t="s">
        <v>1659</v>
      </c>
      <c r="B115" s="2">
        <v>46043</v>
      </c>
      <c r="C115" t="s">
        <v>7</v>
      </c>
      <c r="D115" t="s">
        <v>1542</v>
      </c>
      <c r="E115" t="s">
        <v>1535</v>
      </c>
      <c r="F115" t="s">
        <v>1543</v>
      </c>
      <c r="G115" t="s">
        <v>1546</v>
      </c>
      <c r="H115" t="s">
        <v>1544</v>
      </c>
    </row>
    <row r="116" spans="1:8" x14ac:dyDescent="0.3">
      <c r="A116" t="s">
        <v>1660</v>
      </c>
      <c r="B116" s="2">
        <v>46045</v>
      </c>
      <c r="C116" t="s">
        <v>23</v>
      </c>
      <c r="D116" t="s">
        <v>1542</v>
      </c>
      <c r="E116" t="s">
        <v>1540</v>
      </c>
      <c r="F116" t="s">
        <v>1531</v>
      </c>
      <c r="G116" t="s">
        <v>1546</v>
      </c>
      <c r="H116" t="s">
        <v>1549</v>
      </c>
    </row>
    <row r="117" spans="1:8" x14ac:dyDescent="0.3">
      <c r="A117" t="s">
        <v>1661</v>
      </c>
      <c r="B117" s="2">
        <v>46041</v>
      </c>
      <c r="C117" t="s">
        <v>7</v>
      </c>
      <c r="D117" t="s">
        <v>1557</v>
      </c>
      <c r="E117" t="s">
        <v>1540</v>
      </c>
      <c r="F117" t="s">
        <v>1531</v>
      </c>
      <c r="G117" t="s">
        <v>1562</v>
      </c>
      <c r="H117" t="s">
        <v>1544</v>
      </c>
    </row>
    <row r="118" spans="1:8" x14ac:dyDescent="0.3">
      <c r="A118" t="s">
        <v>1662</v>
      </c>
      <c r="B118" s="2">
        <v>46037</v>
      </c>
      <c r="C118" t="s">
        <v>23</v>
      </c>
      <c r="D118" t="s">
        <v>1542</v>
      </c>
      <c r="E118" t="s">
        <v>1540</v>
      </c>
      <c r="F118" t="s">
        <v>1531</v>
      </c>
      <c r="G118" t="s">
        <v>1548</v>
      </c>
      <c r="H118" t="s">
        <v>1544</v>
      </c>
    </row>
    <row r="119" spans="1:8" x14ac:dyDescent="0.3">
      <c r="A119" t="s">
        <v>1663</v>
      </c>
      <c r="B119" s="2">
        <v>46027</v>
      </c>
      <c r="C119" t="s">
        <v>23</v>
      </c>
      <c r="D119" t="s">
        <v>1539</v>
      </c>
      <c r="E119" t="s">
        <v>1540</v>
      </c>
      <c r="F119" t="s">
        <v>1536</v>
      </c>
      <c r="G119" t="s">
        <v>1548</v>
      </c>
      <c r="H119" t="s">
        <v>1537</v>
      </c>
    </row>
    <row r="120" spans="1:8" x14ac:dyDescent="0.3">
      <c r="A120" t="s">
        <v>1664</v>
      </c>
      <c r="B120" s="2">
        <v>46023</v>
      </c>
      <c r="C120" t="s">
        <v>23</v>
      </c>
      <c r="D120" t="s">
        <v>1539</v>
      </c>
      <c r="E120" t="s">
        <v>1540</v>
      </c>
      <c r="F120" t="s">
        <v>1543</v>
      </c>
      <c r="G120" t="s">
        <v>1546</v>
      </c>
      <c r="H120" t="s">
        <v>1537</v>
      </c>
    </row>
    <row r="121" spans="1:8" x14ac:dyDescent="0.3">
      <c r="A121" t="s">
        <v>1665</v>
      </c>
      <c r="B121" s="2">
        <v>46052</v>
      </c>
      <c r="C121" t="s">
        <v>7</v>
      </c>
      <c r="D121" t="s">
        <v>1529</v>
      </c>
      <c r="E121" t="s">
        <v>1535</v>
      </c>
      <c r="F121" t="s">
        <v>1536</v>
      </c>
      <c r="G121" t="s">
        <v>1546</v>
      </c>
      <c r="H121" t="s">
        <v>1537</v>
      </c>
    </row>
    <row r="122" spans="1:8" x14ac:dyDescent="0.3">
      <c r="A122" t="s">
        <v>1666</v>
      </c>
      <c r="B122" s="2">
        <v>46036</v>
      </c>
      <c r="C122" t="s">
        <v>12</v>
      </c>
      <c r="D122" t="s">
        <v>1539</v>
      </c>
      <c r="E122" t="s">
        <v>1535</v>
      </c>
      <c r="F122" t="s">
        <v>1543</v>
      </c>
      <c r="G122" t="s">
        <v>1562</v>
      </c>
      <c r="H122" t="s">
        <v>1549</v>
      </c>
    </row>
    <row r="123" spans="1:8" x14ac:dyDescent="0.3">
      <c r="A123" t="s">
        <v>1667</v>
      </c>
      <c r="B123" s="2">
        <v>46036</v>
      </c>
      <c r="C123" t="s">
        <v>7</v>
      </c>
      <c r="D123" t="s">
        <v>1542</v>
      </c>
      <c r="E123" t="s">
        <v>1535</v>
      </c>
      <c r="F123" t="s">
        <v>1531</v>
      </c>
      <c r="G123" t="s">
        <v>1532</v>
      </c>
      <c r="H123" t="s">
        <v>1549</v>
      </c>
    </row>
    <row r="124" spans="1:8" x14ac:dyDescent="0.3">
      <c r="A124" t="s">
        <v>1668</v>
      </c>
      <c r="B124" s="2">
        <v>46031</v>
      </c>
      <c r="C124" t="s">
        <v>23</v>
      </c>
      <c r="D124" t="s">
        <v>1542</v>
      </c>
      <c r="E124" t="s">
        <v>1535</v>
      </c>
      <c r="F124" t="s">
        <v>1531</v>
      </c>
      <c r="G124" t="s">
        <v>1546</v>
      </c>
      <c r="H124" t="s">
        <v>1537</v>
      </c>
    </row>
    <row r="125" spans="1:8" x14ac:dyDescent="0.3">
      <c r="A125" t="s">
        <v>1669</v>
      </c>
      <c r="B125" s="2">
        <v>46035</v>
      </c>
      <c r="C125" t="s">
        <v>12</v>
      </c>
      <c r="D125" t="s">
        <v>1542</v>
      </c>
      <c r="E125" t="s">
        <v>1535</v>
      </c>
      <c r="F125" t="s">
        <v>1531</v>
      </c>
      <c r="G125" t="s">
        <v>1562</v>
      </c>
      <c r="H125" t="s">
        <v>1537</v>
      </c>
    </row>
    <row r="126" spans="1:8" x14ac:dyDescent="0.3">
      <c r="A126" t="s">
        <v>1670</v>
      </c>
      <c r="B126" s="2">
        <v>46033</v>
      </c>
      <c r="C126" t="s">
        <v>12</v>
      </c>
      <c r="D126" t="s">
        <v>1542</v>
      </c>
      <c r="E126" t="s">
        <v>1530</v>
      </c>
      <c r="F126" t="s">
        <v>1531</v>
      </c>
      <c r="G126" t="s">
        <v>1562</v>
      </c>
      <c r="H126" t="s">
        <v>1533</v>
      </c>
    </row>
    <row r="127" spans="1:8" x14ac:dyDescent="0.3">
      <c r="A127" t="s">
        <v>1671</v>
      </c>
      <c r="B127" s="2">
        <v>46045</v>
      </c>
      <c r="C127" t="s">
        <v>12</v>
      </c>
      <c r="D127" t="s">
        <v>1557</v>
      </c>
      <c r="E127" t="s">
        <v>1530</v>
      </c>
      <c r="F127" t="s">
        <v>1536</v>
      </c>
      <c r="G127" t="s">
        <v>1532</v>
      </c>
      <c r="H127" t="s">
        <v>1549</v>
      </c>
    </row>
    <row r="128" spans="1:8" x14ac:dyDescent="0.3">
      <c r="A128" t="s">
        <v>1672</v>
      </c>
      <c r="B128" s="2">
        <v>46027</v>
      </c>
      <c r="C128" t="s">
        <v>12</v>
      </c>
      <c r="D128" t="s">
        <v>1529</v>
      </c>
      <c r="E128" t="s">
        <v>1530</v>
      </c>
      <c r="F128" t="s">
        <v>1543</v>
      </c>
      <c r="G128" t="s">
        <v>1546</v>
      </c>
      <c r="H128" t="s">
        <v>1544</v>
      </c>
    </row>
    <row r="129" spans="1:8" x14ac:dyDescent="0.3">
      <c r="A129" t="s">
        <v>1673</v>
      </c>
      <c r="B129" s="2">
        <v>46052</v>
      </c>
      <c r="C129" t="s">
        <v>7</v>
      </c>
      <c r="D129" t="s">
        <v>1529</v>
      </c>
      <c r="E129" t="s">
        <v>1530</v>
      </c>
      <c r="F129" t="s">
        <v>1531</v>
      </c>
      <c r="G129" t="s">
        <v>1546</v>
      </c>
      <c r="H129" t="s">
        <v>1549</v>
      </c>
    </row>
    <row r="130" spans="1:8" x14ac:dyDescent="0.3">
      <c r="A130" t="s">
        <v>1674</v>
      </c>
      <c r="B130" s="2">
        <v>46051</v>
      </c>
      <c r="C130" t="s">
        <v>23</v>
      </c>
      <c r="D130" t="s">
        <v>1529</v>
      </c>
      <c r="E130" t="s">
        <v>1530</v>
      </c>
      <c r="F130" t="s">
        <v>1536</v>
      </c>
      <c r="G130" t="s">
        <v>1532</v>
      </c>
      <c r="H130" t="s">
        <v>1549</v>
      </c>
    </row>
    <row r="131" spans="1:8" x14ac:dyDescent="0.3">
      <c r="A131" t="s">
        <v>1675</v>
      </c>
      <c r="B131" s="2">
        <v>46041</v>
      </c>
      <c r="C131" t="s">
        <v>7</v>
      </c>
      <c r="D131" t="s">
        <v>1557</v>
      </c>
      <c r="E131" t="s">
        <v>1530</v>
      </c>
      <c r="F131" t="s">
        <v>1543</v>
      </c>
      <c r="G131" t="s">
        <v>1532</v>
      </c>
      <c r="H131" t="s">
        <v>1533</v>
      </c>
    </row>
    <row r="132" spans="1:8" x14ac:dyDescent="0.3">
      <c r="A132" t="s">
        <v>1676</v>
      </c>
      <c r="B132" s="2">
        <v>46027</v>
      </c>
      <c r="C132" t="s">
        <v>12</v>
      </c>
      <c r="D132" t="s">
        <v>1539</v>
      </c>
      <c r="E132" t="s">
        <v>1540</v>
      </c>
      <c r="F132" t="s">
        <v>1543</v>
      </c>
      <c r="G132" t="s">
        <v>1532</v>
      </c>
      <c r="H132" t="s">
        <v>1533</v>
      </c>
    </row>
    <row r="133" spans="1:8" x14ac:dyDescent="0.3">
      <c r="A133" t="s">
        <v>1677</v>
      </c>
      <c r="B133" s="2">
        <v>46039</v>
      </c>
      <c r="C133" t="s">
        <v>7</v>
      </c>
      <c r="D133" t="s">
        <v>1542</v>
      </c>
      <c r="E133" t="s">
        <v>1540</v>
      </c>
      <c r="F133" t="s">
        <v>1531</v>
      </c>
      <c r="G133" t="s">
        <v>1548</v>
      </c>
      <c r="H133" t="s">
        <v>1544</v>
      </c>
    </row>
    <row r="134" spans="1:8" x14ac:dyDescent="0.3">
      <c r="A134" t="s">
        <v>1678</v>
      </c>
      <c r="B134" s="2">
        <v>46049</v>
      </c>
      <c r="C134" t="s">
        <v>12</v>
      </c>
      <c r="D134" t="s">
        <v>1557</v>
      </c>
      <c r="E134" t="s">
        <v>1535</v>
      </c>
      <c r="F134" t="s">
        <v>1536</v>
      </c>
      <c r="G134" t="s">
        <v>1532</v>
      </c>
      <c r="H134" t="s">
        <v>1549</v>
      </c>
    </row>
    <row r="135" spans="1:8" x14ac:dyDescent="0.3">
      <c r="A135" t="s">
        <v>1679</v>
      </c>
      <c r="B135" s="2">
        <v>46025</v>
      </c>
      <c r="C135" t="s">
        <v>12</v>
      </c>
      <c r="D135" t="s">
        <v>1557</v>
      </c>
      <c r="E135" t="s">
        <v>1530</v>
      </c>
      <c r="F135" t="s">
        <v>1543</v>
      </c>
      <c r="G135" t="s">
        <v>1546</v>
      </c>
      <c r="H135" t="s">
        <v>1533</v>
      </c>
    </row>
    <row r="136" spans="1:8" x14ac:dyDescent="0.3">
      <c r="A136" t="s">
        <v>1680</v>
      </c>
      <c r="B136" s="2">
        <v>46043</v>
      </c>
      <c r="C136" t="s">
        <v>12</v>
      </c>
      <c r="D136" t="s">
        <v>1542</v>
      </c>
      <c r="E136" t="s">
        <v>1540</v>
      </c>
      <c r="F136" t="s">
        <v>1531</v>
      </c>
      <c r="G136" t="s">
        <v>1562</v>
      </c>
      <c r="H136" t="s">
        <v>1533</v>
      </c>
    </row>
    <row r="137" spans="1:8" x14ac:dyDescent="0.3">
      <c r="A137" t="s">
        <v>1681</v>
      </c>
      <c r="B137" s="2">
        <v>46050</v>
      </c>
      <c r="C137" t="s">
        <v>23</v>
      </c>
      <c r="D137" t="s">
        <v>1529</v>
      </c>
      <c r="E137" t="s">
        <v>1540</v>
      </c>
      <c r="F137" t="s">
        <v>1536</v>
      </c>
      <c r="G137" t="s">
        <v>1546</v>
      </c>
      <c r="H137" t="s">
        <v>1537</v>
      </c>
    </row>
    <row r="138" spans="1:8" x14ac:dyDescent="0.3">
      <c r="A138" t="s">
        <v>1682</v>
      </c>
      <c r="B138" s="2">
        <v>46041</v>
      </c>
      <c r="C138" t="s">
        <v>23</v>
      </c>
      <c r="D138" t="s">
        <v>1529</v>
      </c>
      <c r="E138" t="s">
        <v>1535</v>
      </c>
      <c r="F138" t="s">
        <v>1531</v>
      </c>
      <c r="G138" t="s">
        <v>1532</v>
      </c>
      <c r="H138" t="s">
        <v>1533</v>
      </c>
    </row>
    <row r="139" spans="1:8" x14ac:dyDescent="0.3">
      <c r="A139" t="s">
        <v>1683</v>
      </c>
      <c r="B139" s="2">
        <v>46027</v>
      </c>
      <c r="C139" t="s">
        <v>23</v>
      </c>
      <c r="D139" t="s">
        <v>1529</v>
      </c>
      <c r="E139" t="s">
        <v>1530</v>
      </c>
      <c r="F139" t="s">
        <v>1543</v>
      </c>
      <c r="G139" t="s">
        <v>1548</v>
      </c>
      <c r="H139" t="s">
        <v>1549</v>
      </c>
    </row>
    <row r="140" spans="1:8" x14ac:dyDescent="0.3">
      <c r="A140" t="s">
        <v>1684</v>
      </c>
      <c r="B140" s="2">
        <v>46034</v>
      </c>
      <c r="C140" t="s">
        <v>7</v>
      </c>
      <c r="D140" t="s">
        <v>1557</v>
      </c>
      <c r="E140" t="s">
        <v>1535</v>
      </c>
      <c r="F140" t="s">
        <v>1531</v>
      </c>
      <c r="G140" t="s">
        <v>1562</v>
      </c>
      <c r="H140" t="s">
        <v>1544</v>
      </c>
    </row>
    <row r="141" spans="1:8" x14ac:dyDescent="0.3">
      <c r="A141" t="s">
        <v>1685</v>
      </c>
      <c r="B141" s="2">
        <v>46038</v>
      </c>
      <c r="C141" t="s">
        <v>23</v>
      </c>
      <c r="D141" t="s">
        <v>1529</v>
      </c>
      <c r="E141" t="s">
        <v>1540</v>
      </c>
      <c r="F141" t="s">
        <v>1543</v>
      </c>
      <c r="G141" t="s">
        <v>1546</v>
      </c>
      <c r="H141" t="s">
        <v>1537</v>
      </c>
    </row>
    <row r="142" spans="1:8" x14ac:dyDescent="0.3">
      <c r="A142" t="s">
        <v>1686</v>
      </c>
      <c r="B142" s="2">
        <v>46025</v>
      </c>
      <c r="C142" t="s">
        <v>7</v>
      </c>
      <c r="D142" t="s">
        <v>1539</v>
      </c>
      <c r="E142" t="s">
        <v>1540</v>
      </c>
      <c r="F142" t="s">
        <v>1536</v>
      </c>
      <c r="G142" t="s">
        <v>1548</v>
      </c>
      <c r="H142" t="s">
        <v>1544</v>
      </c>
    </row>
    <row r="143" spans="1:8" x14ac:dyDescent="0.3">
      <c r="A143" t="s">
        <v>1687</v>
      </c>
      <c r="B143" s="2">
        <v>46042</v>
      </c>
      <c r="C143" t="s">
        <v>23</v>
      </c>
      <c r="D143" t="s">
        <v>1557</v>
      </c>
      <c r="E143" t="s">
        <v>1540</v>
      </c>
      <c r="F143" t="s">
        <v>1531</v>
      </c>
      <c r="G143" t="s">
        <v>1546</v>
      </c>
      <c r="H143" t="s">
        <v>1537</v>
      </c>
    </row>
    <row r="144" spans="1:8" x14ac:dyDescent="0.3">
      <c r="A144" t="s">
        <v>1688</v>
      </c>
      <c r="B144" s="2">
        <v>46047</v>
      </c>
      <c r="C144" t="s">
        <v>12</v>
      </c>
      <c r="D144" t="s">
        <v>1542</v>
      </c>
      <c r="E144" t="s">
        <v>1540</v>
      </c>
      <c r="F144" t="s">
        <v>1543</v>
      </c>
      <c r="G144" t="s">
        <v>1548</v>
      </c>
      <c r="H144" t="s">
        <v>1549</v>
      </c>
    </row>
    <row r="145" spans="1:8" x14ac:dyDescent="0.3">
      <c r="A145" t="s">
        <v>1689</v>
      </c>
      <c r="B145" s="2">
        <v>46035</v>
      </c>
      <c r="C145" t="s">
        <v>12</v>
      </c>
      <c r="D145" t="s">
        <v>1557</v>
      </c>
      <c r="E145" t="s">
        <v>1530</v>
      </c>
      <c r="F145" t="s">
        <v>1531</v>
      </c>
      <c r="G145" t="s">
        <v>1546</v>
      </c>
      <c r="H145" t="s">
        <v>1537</v>
      </c>
    </row>
    <row r="146" spans="1:8" x14ac:dyDescent="0.3">
      <c r="A146" t="s">
        <v>1690</v>
      </c>
      <c r="B146" s="2">
        <v>46024</v>
      </c>
      <c r="C146" t="s">
        <v>7</v>
      </c>
      <c r="D146" t="s">
        <v>1557</v>
      </c>
      <c r="E146" t="s">
        <v>1535</v>
      </c>
      <c r="F146" t="s">
        <v>1536</v>
      </c>
      <c r="G146" t="s">
        <v>1546</v>
      </c>
      <c r="H146" t="s">
        <v>1544</v>
      </c>
    </row>
    <row r="147" spans="1:8" x14ac:dyDescent="0.3">
      <c r="A147" t="s">
        <v>1691</v>
      </c>
      <c r="B147" s="2">
        <v>46044</v>
      </c>
      <c r="C147" t="s">
        <v>7</v>
      </c>
      <c r="D147" t="s">
        <v>1539</v>
      </c>
      <c r="E147" t="s">
        <v>1540</v>
      </c>
      <c r="F147" t="s">
        <v>1531</v>
      </c>
      <c r="G147" t="s">
        <v>1532</v>
      </c>
      <c r="H147" t="s">
        <v>1533</v>
      </c>
    </row>
    <row r="148" spans="1:8" x14ac:dyDescent="0.3">
      <c r="A148" t="s">
        <v>1692</v>
      </c>
      <c r="B148" s="2">
        <v>46047</v>
      </c>
      <c r="C148" t="s">
        <v>7</v>
      </c>
      <c r="D148" t="s">
        <v>1557</v>
      </c>
      <c r="E148" t="s">
        <v>1530</v>
      </c>
      <c r="F148" t="s">
        <v>1531</v>
      </c>
      <c r="G148" t="s">
        <v>1562</v>
      </c>
      <c r="H148" t="s">
        <v>1537</v>
      </c>
    </row>
    <row r="149" spans="1:8" x14ac:dyDescent="0.3">
      <c r="A149" t="s">
        <v>1693</v>
      </c>
      <c r="B149" s="2">
        <v>46040</v>
      </c>
      <c r="C149" t="s">
        <v>12</v>
      </c>
      <c r="D149" t="s">
        <v>1529</v>
      </c>
      <c r="E149" t="s">
        <v>1540</v>
      </c>
      <c r="F149" t="s">
        <v>1531</v>
      </c>
      <c r="G149" t="s">
        <v>1546</v>
      </c>
      <c r="H149" t="s">
        <v>1544</v>
      </c>
    </row>
    <row r="150" spans="1:8" x14ac:dyDescent="0.3">
      <c r="A150" t="s">
        <v>1694</v>
      </c>
      <c r="B150" s="2">
        <v>46032</v>
      </c>
      <c r="C150" t="s">
        <v>7</v>
      </c>
      <c r="D150" t="s">
        <v>1529</v>
      </c>
      <c r="E150" t="s">
        <v>1530</v>
      </c>
      <c r="F150" t="s">
        <v>1531</v>
      </c>
      <c r="G150" t="s">
        <v>1548</v>
      </c>
      <c r="H150" t="s">
        <v>1544</v>
      </c>
    </row>
    <row r="151" spans="1:8" x14ac:dyDescent="0.3">
      <c r="A151" t="s">
        <v>1695</v>
      </c>
      <c r="B151" s="2">
        <v>46032</v>
      </c>
      <c r="C151" t="s">
        <v>23</v>
      </c>
      <c r="D151" t="s">
        <v>1529</v>
      </c>
      <c r="E151" t="s">
        <v>1535</v>
      </c>
      <c r="F151" t="s">
        <v>1531</v>
      </c>
      <c r="G151" t="s">
        <v>1532</v>
      </c>
      <c r="H151" t="s">
        <v>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cols>
    <col min="1" max="1" width="11.109375" bestFit="1" customWidth="1"/>
    <col min="2" max="2" width="19.5546875" bestFit="1" customWidth="1"/>
    <col min="3" max="3" width="18.5546875" bestFit="1" customWidth="1"/>
  </cols>
  <sheetData>
    <row r="1" spans="1:3" x14ac:dyDescent="0.3">
      <c r="A1" s="1" t="s">
        <v>4</v>
      </c>
      <c r="B1" s="1" t="s">
        <v>1696</v>
      </c>
      <c r="C1" s="1" t="s">
        <v>1697</v>
      </c>
    </row>
    <row r="2" spans="1:3" x14ac:dyDescent="0.3">
      <c r="A2" t="s">
        <v>10</v>
      </c>
      <c r="B2" s="2">
        <v>45993</v>
      </c>
      <c r="C2" t="s">
        <v>1698</v>
      </c>
    </row>
    <row r="3" spans="1:3" x14ac:dyDescent="0.3">
      <c r="A3" t="s">
        <v>14</v>
      </c>
      <c r="B3" s="2">
        <v>45977</v>
      </c>
      <c r="C3" t="s">
        <v>1699</v>
      </c>
    </row>
    <row r="4" spans="1:3" x14ac:dyDescent="0.3">
      <c r="A4" t="s">
        <v>36</v>
      </c>
      <c r="B4" s="2">
        <v>45903</v>
      </c>
      <c r="C4" t="s">
        <v>1700</v>
      </c>
    </row>
    <row r="5" spans="1:3" x14ac:dyDescent="0.3">
      <c r="A5" t="s">
        <v>28</v>
      </c>
      <c r="B5" s="2">
        <v>45973</v>
      </c>
      <c r="C5" t="s">
        <v>1698</v>
      </c>
    </row>
    <row r="6" spans="1:3" x14ac:dyDescent="0.3">
      <c r="A6" t="s">
        <v>21</v>
      </c>
      <c r="B6" s="2">
        <v>45947</v>
      </c>
      <c r="C6" t="s">
        <v>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Production_Data</vt:lpstr>
      <vt:lpstr>Non_Conformance_Log</vt:lpstr>
      <vt:lpstr>Machine_Info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Ajju Dangol</cp:lastModifiedBy>
  <dcterms:created xsi:type="dcterms:W3CDTF">2026-02-14T15:46:52Z</dcterms:created>
  <dcterms:modified xsi:type="dcterms:W3CDTF">2026-03-03T17:22:41Z</dcterms:modified>
</cp:coreProperties>
</file>